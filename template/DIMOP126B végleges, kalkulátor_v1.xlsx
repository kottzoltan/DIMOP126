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trlProps/ctrlProp3.xml" ContentType="application/vnd.ms-excel.controlproperties+xml"/>
  <Override PartName="/xl/ctrlProps/ctrlProp4.xml" ContentType="application/vnd.ms-excel.controlproperties+xml"/>
  <Override PartName="/xl/ctrlProps/ctrlProp5.xml" ContentType="application/vnd.ms-excel.controlproperties+xml"/>
  <Override PartName="/xl/ctrlProps/ctrlProp6.xml" ContentType="application/vnd.ms-excel.controlproperties+xml"/>
  <Override PartName="/xl/ctrlProps/ctrlProp7.xml" ContentType="application/vnd.ms-excel.controlproperties+xml"/>
  <Override PartName="/xl/ctrlProps/ctrlProp8.xml" ContentType="application/vnd.ms-excel.controlproperties+xml"/>
  <Override PartName="/xl/ctrlProps/ctrlProp9.xml" ContentType="application/vnd.ms-excel.controlproperties+xml"/>
  <Override PartName="/xl/ctrlProps/ctrlProp10.xml" ContentType="application/vnd.ms-excel.controlproperties+xml"/>
  <Override PartName="/xl/ctrlProps/ctrlProp11.xml" ContentType="application/vnd.ms-excel.controlproperties+xml"/>
  <Override PartName="/xl/ctrlProps/ctrlProp12.xml" ContentType="application/vnd.ms-excel.controlproperties+xml"/>
  <Override PartName="/xl/ctrlProps/ctrlProp13.xml" ContentType="application/vnd.ms-excel.controlproperties+xml"/>
  <Override PartName="/xl/ctrlProps/ctrlProp14.xml" ContentType="application/vnd.ms-excel.controlproperties+xml"/>
  <Override PartName="/xl/ctrlProps/ctrlProp15.xml" ContentType="application/vnd.ms-excel.controlproperties+xml"/>
  <Override PartName="/xl/ctrlProps/ctrlProp16.xml" ContentType="application/vnd.ms-excel.controlproperties+xml"/>
  <Override PartName="/xl/ctrlProps/ctrlProp17.xml" ContentType="application/vnd.ms-excel.controlproperties+xml"/>
  <Override PartName="/xl/ctrlProps/ctrlProp18.xml" ContentType="application/vnd.ms-excel.controlproperties+xml"/>
  <Override PartName="/xl/ctrlProps/ctrlProp19.xml" ContentType="application/vnd.ms-excel.controlproperties+xml"/>
  <Override PartName="/xl/ctrlProps/ctrlProp20.xml" ContentType="application/vnd.ms-excel.controlproperties+xml"/>
  <Override PartName="/xl/ctrlProps/ctrlProp21.xml" ContentType="application/vnd.ms-excel.controlproperties+xml"/>
  <Override PartName="/xl/ctrlProps/ctrlProp22.xml" ContentType="application/vnd.ms-excel.controlproperties+xml"/>
  <Override PartName="/xl/ctrlProps/ctrlProp23.xml" ContentType="application/vnd.ms-excel.controlproperties+xml"/>
  <Override PartName="/xl/ctrlProps/ctrlProp24.xml" ContentType="application/vnd.ms-excel.controlproperties+xml"/>
  <Override PartName="/xl/ctrlProps/ctrlProp25.xml" ContentType="application/vnd.ms-excel.controlproperties+xml"/>
  <Override PartName="/xl/ctrlProps/ctrlProp26.xml" ContentType="application/vnd.ms-excel.controlproperties+xml"/>
  <Override PartName="/xl/drawings/drawing2.xml" ContentType="application/vnd.openxmlformats-officedocument.drawing+xml"/>
  <Override PartName="/xl/comments1.xml" ContentType="application/vnd.openxmlformats-officedocument.spreadsheetml.comments+xml"/>
  <Override PartName="/xl/drawings/drawing3.xml" ContentType="application/vnd.openxmlformats-officedocument.drawing+xml"/>
  <Override PartName="/xl/comments2.xml" ContentType="application/vnd.openxmlformats-officedocument.spreadsheetml.comments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comments3.xml" ContentType="application/vnd.openxmlformats-officedocument.spreadsheetml.comments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zoli/Documents/2026/DIMOP/"/>
    </mc:Choice>
  </mc:AlternateContent>
  <xr:revisionPtr revIDLastSave="0" documentId="8_{21CB8491-2A26-884B-A560-D782D062A406}" xr6:coauthVersionLast="47" xr6:coauthVersionMax="47" xr10:uidLastSave="{00000000-0000-0000-0000-000000000000}"/>
  <bookViews>
    <workbookView xWindow="0" yWindow="0" windowWidth="28800" windowHeight="18000" tabRatio="279" activeTab="6" xr2:uid="{A77FE9FC-9908-4D83-9A4C-1B367933B266}"/>
  </bookViews>
  <sheets>
    <sheet name="Alapadatok" sheetId="3" r:id="rId1"/>
    <sheet name="Hardver" sheetId="4" r:id="rId2"/>
    <sheet name="Szoftver" sheetId="1" r:id="rId3"/>
    <sheet name="Rövid_pdf" sheetId="7" state="hidden" r:id="rId4"/>
    <sheet name="Egyéb költségek" sheetId="2" state="hidden" r:id="rId5"/>
    <sheet name="Hosszú_pdf" sheetId="8" state="hidden" r:id="rId6"/>
    <sheet name="Költségvetés" sheetId="5" r:id="rId7"/>
    <sheet name="Kérdések" sheetId="9" state="hidden" r:id="rId8"/>
    <sheet name="Alternatív termékek" sheetId="10" state="hidden" r:id="rId9"/>
    <sheet name="Napi árfolyamok" sheetId="12" state="hidden" r:id="rId10"/>
  </sheets>
  <definedNames>
    <definedName name="_xlnm._FilterDatabase" localSheetId="2" hidden="1">Szoftver!$O$1:$T$39</definedName>
    <definedName name="_Hlk219322800" localSheetId="2">Szoftver!$B$12</definedName>
    <definedName name="ExternalData_1" localSheetId="9" hidden="1">'Napi árfolyamok'!$A$1:$D$4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H35" i="1" l="1"/>
  <c r="AI35" i="1" s="1"/>
  <c r="AJ35" i="1" s="1"/>
  <c r="AL26" i="1"/>
  <c r="AJ26" i="1"/>
  <c r="AI26" i="1"/>
  <c r="B29" i="10"/>
  <c r="B28" i="10"/>
  <c r="B27" i="10"/>
  <c r="H46" i="3"/>
  <c r="H34" i="5" s="1"/>
  <c r="O15" i="1"/>
  <c r="O16" i="1"/>
  <c r="O18" i="1"/>
  <c r="O22" i="1"/>
  <c r="O26" i="1"/>
  <c r="O38" i="1"/>
  <c r="O37" i="1"/>
  <c r="O35" i="1"/>
  <c r="O29" i="1"/>
  <c r="O27" i="1"/>
  <c r="O33" i="1"/>
  <c r="H4" i="3" l="1"/>
  <c r="T15" i="1"/>
  <c r="T13" i="1"/>
  <c r="T12" i="1"/>
  <c r="AG32" i="1"/>
  <c r="AH32" i="1" s="1"/>
  <c r="AI32" i="1" s="1"/>
  <c r="AJ32" i="1" s="1"/>
  <c r="AG21" i="1"/>
  <c r="AG17" i="1"/>
  <c r="AG16" i="1"/>
  <c r="K31" i="5"/>
  <c r="P6" i="1"/>
  <c r="P5" i="1"/>
  <c r="AF14" i="1"/>
  <c r="AA14" i="1"/>
  <c r="C1" i="10"/>
  <c r="B5" i="10" s="1"/>
  <c r="AG7" i="1" s="1"/>
  <c r="H27" i="5"/>
  <c r="H31" i="5"/>
  <c r="V39" i="1"/>
  <c r="V38" i="1"/>
  <c r="V37" i="1"/>
  <c r="V36" i="1"/>
  <c r="V34" i="1"/>
  <c r="V35" i="1"/>
  <c r="V33" i="1"/>
  <c r="V32" i="1"/>
  <c r="V31" i="1"/>
  <c r="V30" i="1"/>
  <c r="V29" i="1"/>
  <c r="V28" i="1"/>
  <c r="V27" i="1"/>
  <c r="V26" i="1"/>
  <c r="V25" i="1"/>
  <c r="V24" i="1"/>
  <c r="V23" i="1"/>
  <c r="V22" i="1"/>
  <c r="V21" i="1"/>
  <c r="V20" i="1"/>
  <c r="V19" i="1"/>
  <c r="V18" i="1"/>
  <c r="V17" i="1"/>
  <c r="V16" i="1"/>
  <c r="V15" i="1"/>
  <c r="V14" i="1"/>
  <c r="V13" i="1"/>
  <c r="V12" i="1"/>
  <c r="V11" i="1"/>
  <c r="V10" i="1"/>
  <c r="V9" i="1"/>
  <c r="V8" i="1"/>
  <c r="V7" i="1"/>
  <c r="O14" i="1"/>
  <c r="O12" i="1"/>
  <c r="O10" i="1"/>
  <c r="O7" i="1"/>
  <c r="T7" i="1" s="1"/>
  <c r="O6" i="1"/>
  <c r="O5" i="1"/>
  <c r="K34" i="5"/>
  <c r="T11" i="1"/>
  <c r="T10" i="1"/>
  <c r="G4" i="4"/>
  <c r="G5" i="4"/>
  <c r="G6" i="4"/>
  <c r="G7" i="4"/>
  <c r="G8" i="4"/>
  <c r="G9" i="4"/>
  <c r="G10" i="4"/>
  <c r="E22" i="1"/>
  <c r="E23" i="1"/>
  <c r="E24" i="1"/>
  <c r="E25" i="1"/>
  <c r="E26" i="1"/>
  <c r="AB26" i="1" s="1"/>
  <c r="E27" i="1"/>
  <c r="E28" i="1"/>
  <c r="E29" i="1"/>
  <c r="E30" i="1"/>
  <c r="E31" i="1"/>
  <c r="E32" i="1"/>
  <c r="AA32" i="1" s="1"/>
  <c r="AB32" i="1" s="1"/>
  <c r="AC32" i="1" s="1"/>
  <c r="E33" i="1"/>
  <c r="E34" i="1"/>
  <c r="E35" i="1"/>
  <c r="E36" i="1"/>
  <c r="E37" i="1"/>
  <c r="E38" i="1"/>
  <c r="E39" i="1"/>
  <c r="E18" i="1"/>
  <c r="E19" i="1"/>
  <c r="E20" i="1"/>
  <c r="E21" i="1"/>
  <c r="AH21" i="1" s="1"/>
  <c r="E16" i="1"/>
  <c r="E17" i="1"/>
  <c r="E13" i="1"/>
  <c r="E14" i="1"/>
  <c r="E15" i="1"/>
  <c r="E12" i="1"/>
  <c r="E10" i="1"/>
  <c r="H10" i="1" s="1"/>
  <c r="E11" i="1"/>
  <c r="E8" i="1"/>
  <c r="E9" i="1"/>
  <c r="E7" i="1"/>
  <c r="T8" i="1"/>
  <c r="G3" i="4"/>
  <c r="T39" i="1"/>
  <c r="T38" i="1"/>
  <c r="T37" i="1"/>
  <c r="T35" i="1"/>
  <c r="T33" i="1"/>
  <c r="T36" i="1"/>
  <c r="T34" i="1"/>
  <c r="T31" i="1"/>
  <c r="T17" i="1"/>
  <c r="T16" i="1"/>
  <c r="T32" i="1"/>
  <c r="T30" i="1"/>
  <c r="T29" i="1"/>
  <c r="T28" i="1"/>
  <c r="T24" i="1"/>
  <c r="T25" i="1"/>
  <c r="T26" i="1"/>
  <c r="T27" i="1"/>
  <c r="T23" i="1"/>
  <c r="T22" i="1"/>
  <c r="T19" i="1"/>
  <c r="T18" i="1"/>
  <c r="T21" i="1"/>
  <c r="T14" i="1"/>
  <c r="T20" i="1"/>
  <c r="T9" i="1"/>
  <c r="AA37" i="1" l="1"/>
  <c r="AB37" i="1" s="1"/>
  <c r="AG37" i="1"/>
  <c r="AH37" i="1" s="1"/>
  <c r="AI37" i="1" s="1"/>
  <c r="AJ37" i="1" s="1"/>
  <c r="AB17" i="1"/>
  <c r="AG33" i="1"/>
  <c r="AH33" i="1" s="1"/>
  <c r="AJ21" i="1"/>
  <c r="AI21" i="1"/>
  <c r="AH23" i="1"/>
  <c r="AH39" i="1"/>
  <c r="AH38" i="1"/>
  <c r="AH27" i="1"/>
  <c r="AI27" i="1" s="1"/>
  <c r="AJ27" i="1" s="1"/>
  <c r="AH24" i="1"/>
  <c r="AH25" i="1"/>
  <c r="H38" i="1"/>
  <c r="AB38" i="1"/>
  <c r="AC38" i="1" s="1"/>
  <c r="AB39" i="1"/>
  <c r="AC39" i="1" s="1"/>
  <c r="AA35" i="1"/>
  <c r="AB35" i="1" s="1"/>
  <c r="AD35" i="1" s="1"/>
  <c r="AL35" i="1" s="1"/>
  <c r="H35" i="1"/>
  <c r="AA33" i="1"/>
  <c r="AB33" i="1" s="1"/>
  <c r="AC33" i="1" s="1"/>
  <c r="H33" i="1"/>
  <c r="P33" i="1"/>
  <c r="R33" i="1" s="1"/>
  <c r="H29" i="1"/>
  <c r="H22" i="1"/>
  <c r="H7" i="1"/>
  <c r="Q7" i="1"/>
  <c r="AH17" i="1"/>
  <c r="AH16" i="1"/>
  <c r="AJ16" i="1" s="1"/>
  <c r="AB30" i="1"/>
  <c r="AB29" i="1"/>
  <c r="AB27" i="1"/>
  <c r="AD27" i="1" s="1"/>
  <c r="AB25" i="1"/>
  <c r="AD25" i="1" s="1"/>
  <c r="AB24" i="1"/>
  <c r="AD24" i="1" s="1"/>
  <c r="AB23" i="1"/>
  <c r="AD23" i="1" s="1"/>
  <c r="AA17" i="1"/>
  <c r="AA16" i="1"/>
  <c r="AB16" i="1" s="1"/>
  <c r="P27" i="1"/>
  <c r="R27" i="1" s="1"/>
  <c r="Q26" i="1"/>
  <c r="Q27" i="1"/>
  <c r="Q14" i="1"/>
  <c r="AA27" i="1"/>
  <c r="AH9" i="1"/>
  <c r="AJ9" i="1" s="1"/>
  <c r="P35" i="1"/>
  <c r="R35" i="1" s="1"/>
  <c r="AH8" i="1"/>
  <c r="AJ8" i="1" s="1"/>
  <c r="AD32" i="1"/>
  <c r="AL32" i="1" s="1"/>
  <c r="P26" i="1"/>
  <c r="AD26" i="1"/>
  <c r="AC26" i="1"/>
  <c r="AH11" i="1"/>
  <c r="AI11" i="1" s="1"/>
  <c r="P37" i="1"/>
  <c r="R37" i="1" s="1"/>
  <c r="B6" i="10"/>
  <c r="B7" i="10"/>
  <c r="B21" i="10"/>
  <c r="AG10" i="1" s="1"/>
  <c r="AH10" i="1" s="1"/>
  <c r="AJ10" i="1" s="1"/>
  <c r="B22" i="10"/>
  <c r="AH7" i="1"/>
  <c r="AI7" i="1" s="1"/>
  <c r="P38" i="1"/>
  <c r="R38" i="1" s="1"/>
  <c r="P14" i="1"/>
  <c r="R14" i="1" s="1"/>
  <c r="P15" i="1"/>
  <c r="R15" i="1" s="1"/>
  <c r="P29" i="1"/>
  <c r="P22" i="1"/>
  <c r="R26" i="1" s="1"/>
  <c r="P12" i="1"/>
  <c r="R12" i="1" s="1"/>
  <c r="P10" i="1"/>
  <c r="R10" i="1" s="1"/>
  <c r="H6" i="3"/>
  <c r="P18" i="1"/>
  <c r="R18" i="1" s="1"/>
  <c r="P16" i="1"/>
  <c r="R16" i="1" s="1"/>
  <c r="H26" i="5" s="1"/>
  <c r="P7" i="1"/>
  <c r="R7" i="1" s="1"/>
  <c r="V43" i="1"/>
  <c r="F8" i="5" s="1"/>
  <c r="O4" i="1"/>
  <c r="V42" i="1"/>
  <c r="F10" i="5" s="1"/>
  <c r="V41" i="1"/>
  <c r="F6" i="5" s="1"/>
  <c r="G13" i="4"/>
  <c r="G15" i="4" s="1"/>
  <c r="AD17" i="1"/>
  <c r="AA21" i="1"/>
  <c r="AB21" i="1" s="1"/>
  <c r="AC21" i="1" s="1"/>
  <c r="H16" i="1"/>
  <c r="AB9" i="1"/>
  <c r="AA10" i="1"/>
  <c r="AB10" i="1" s="1"/>
  <c r="AB11" i="1"/>
  <c r="AB8" i="1"/>
  <c r="AA7" i="1"/>
  <c r="AC35" i="1" l="1"/>
  <c r="AD37" i="1"/>
  <c r="AL37" i="1" s="1"/>
  <c r="AC37" i="1"/>
  <c r="AD33" i="1"/>
  <c r="AI33" i="1"/>
  <c r="AJ33" i="1"/>
  <c r="AJ38" i="1"/>
  <c r="AI38" i="1"/>
  <c r="AJ39" i="1"/>
  <c r="AI39" i="1"/>
  <c r="AL27" i="1"/>
  <c r="AC27" i="1"/>
  <c r="AJ23" i="1"/>
  <c r="AL23" i="1" s="1"/>
  <c r="AI23" i="1"/>
  <c r="AI25" i="1"/>
  <c r="AJ25" i="1"/>
  <c r="AL25" i="1" s="1"/>
  <c r="AJ24" i="1"/>
  <c r="AL24" i="1" s="1"/>
  <c r="AI24" i="1"/>
  <c r="AI16" i="1"/>
  <c r="AJ17" i="1"/>
  <c r="AL17" i="1" s="1"/>
  <c r="AI17" i="1"/>
  <c r="AD29" i="1"/>
  <c r="AL29" i="1" s="1"/>
  <c r="AC29" i="1"/>
  <c r="AD30" i="1"/>
  <c r="AL30" i="1" s="1"/>
  <c r="AC30" i="1"/>
  <c r="AD16" i="1"/>
  <c r="AL16" i="1" s="1"/>
  <c r="AC16" i="1"/>
  <c r="AI8" i="1"/>
  <c r="AI9" i="1"/>
  <c r="AD39" i="1"/>
  <c r="AL39" i="1" s="1"/>
  <c r="AJ11" i="1"/>
  <c r="AD38" i="1"/>
  <c r="AL38" i="1" s="1"/>
  <c r="R22" i="1"/>
  <c r="R4" i="1" s="1"/>
  <c r="AC25" i="1"/>
  <c r="AG4" i="1"/>
  <c r="AH4" i="1"/>
  <c r="AI10" i="1"/>
  <c r="AJ7" i="1"/>
  <c r="AD21" i="1"/>
  <c r="AL21" i="1" s="1"/>
  <c r="K6" i="5"/>
  <c r="AC23" i="1"/>
  <c r="AC17" i="1"/>
  <c r="V44" i="1"/>
  <c r="F4" i="5"/>
  <c r="AC24" i="1"/>
  <c r="AB7" i="1"/>
  <c r="AA4" i="1"/>
  <c r="AD8" i="1"/>
  <c r="AL8" i="1" s="1"/>
  <c r="AC8" i="1"/>
  <c r="AD11" i="1"/>
  <c r="AC11" i="1"/>
  <c r="AD9" i="1"/>
  <c r="AL9" i="1" s="1"/>
  <c r="AC9" i="1"/>
  <c r="AD10" i="1"/>
  <c r="AL10" i="1" s="1"/>
  <c r="AC10" i="1"/>
  <c r="AL33" i="1" l="1"/>
  <c r="AI4" i="1"/>
  <c r="AL11" i="1"/>
  <c r="H37" i="5"/>
  <c r="K37" i="5" s="1"/>
  <c r="B37" i="5"/>
  <c r="AD7" i="1"/>
  <c r="AD4" i="1" s="1"/>
  <c r="AB4" i="1"/>
  <c r="AJ4" i="1"/>
  <c r="F12" i="5"/>
  <c r="F14" i="5" s="1"/>
  <c r="K4" i="5" s="1"/>
  <c r="AC7" i="1"/>
  <c r="AC4" i="1" s="1"/>
  <c r="AL4" i="1" l="1"/>
  <c r="AL7" i="1"/>
  <c r="K41" i="5"/>
  <c r="H8" i="3" s="1"/>
  <c r="X21" i="5"/>
  <c r="B39" i="5"/>
  <c r="G4" i="5"/>
  <c r="F16" i="5"/>
  <c r="F18" i="5" s="1"/>
  <c r="B44" i="5" l="1"/>
  <c r="B45" i="5"/>
  <c r="K16" i="5"/>
  <c r="G18" i="5"/>
  <c r="K18" i="5" s="1"/>
  <c r="H7" i="3"/>
  <c r="O28" i="5" l="1"/>
  <c r="H28" i="5"/>
  <c r="H41" i="5"/>
  <c r="H29" i="5"/>
  <c r="H32" i="5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Szilárd Pankucsi</author>
  </authors>
  <commentList>
    <comment ref="C5" authorId="0" shapeId="0" xr:uid="{E6BA2012-9291-4F89-8FCD-A3C14D113846}">
      <text>
        <r>
          <rPr>
            <sz val="10"/>
            <color indexed="81"/>
            <rFont val="Tahoma"/>
            <family val="2"/>
            <charset val="238"/>
          </rPr>
          <t>Legalább 30 Mbps sebességű helyhez kötött internetkapcsolat</t>
        </r>
      </text>
    </comment>
    <comment ref="C6" authorId="0" shapeId="0" xr:uid="{3C1258FD-D357-497C-94E3-902460B9A2F4}">
      <text>
        <r>
          <rPr>
            <sz val="10"/>
            <color indexed="81"/>
            <rFont val="Tahoma"/>
            <family val="2"/>
            <charset val="238"/>
          </rPr>
          <t>Alkalmazottak több mint 50%-a rendelkezik internet-hozzáféréssel üzleti célból</t>
        </r>
      </text>
    </comment>
    <comment ref="F7" authorId="0" shapeId="0" xr:uid="{A3CAE660-F511-4A48-935E-373F86B980D6}">
      <text>
        <r>
          <rPr>
            <sz val="10"/>
            <color rgb="FF000000"/>
            <rFont val="Tahoma"/>
            <family val="2"/>
            <charset val="238"/>
          </rPr>
          <t xml:space="preserve">- E-mail fiókhoz való hozzáférést lehetővé tevő üzleti megoldások (saját domaines e-mail, naptár). 
</t>
        </r>
        <r>
          <rPr>
            <sz val="10"/>
            <color rgb="FF000000"/>
            <rFont val="Tahoma"/>
            <family val="2"/>
            <charset val="238"/>
          </rPr>
          <t xml:space="preserve">- Dokumentummegosztást vagy kollaborációs munkát támogató üzleti felhő megoldások (közös szerkesztés). 
</t>
        </r>
        <r>
          <rPr>
            <sz val="10"/>
            <color rgb="FF000000"/>
            <rFont val="Tahoma"/>
            <family val="2"/>
            <charset val="238"/>
          </rPr>
          <t xml:space="preserve">- VPN távoli hozzáférés az üzleti munkakörnyezethez, adatokhoz, dokumentumokhoz (pl. tárhely)  
</t>
        </r>
        <r>
          <rPr>
            <sz val="10"/>
            <color rgb="FF000000"/>
            <rFont val="Tahoma"/>
            <family val="2"/>
            <charset val="238"/>
          </rPr>
          <t xml:space="preserve">- Vagy bármely igazolható olyan üzleti megoldás megléte, amely a fenti funkciókhoz távolról való hozzáférést támogatja. </t>
        </r>
      </text>
    </comment>
    <comment ref="F8" authorId="0" shapeId="0" xr:uid="{E22306EB-0814-4DC9-A5F9-3B29C254F2BD}">
      <text>
        <r>
          <rPr>
            <sz val="10"/>
            <color rgb="FF000000"/>
            <rFont val="Tahoma"/>
            <family val="2"/>
            <charset val="238"/>
          </rPr>
          <t>Regisztráció/ fenntartás, DNS-kezelés</t>
        </r>
      </text>
    </comment>
    <comment ref="F9" authorId="0" shapeId="0" xr:uid="{FCFBF94B-823A-406D-A14E-9078366A85D2}">
      <text>
        <r>
          <rPr>
            <sz val="10"/>
            <color rgb="FF000000"/>
            <rFont val="Tahoma"/>
            <family val="2"/>
            <charset val="238"/>
          </rPr>
          <t>A SaaS irodai csomaggal kapcsolatos távoli segítségnyújtás, frissítés, alapbiztonsági felügyelet, melynek keretében megvalósítható pl. Tenant létrehozás, DNS/MX beállítás, 5 postafiók, az esetlegesen szükséges felhasználói migráció (Régi levelek/fájlok áthozása).</t>
        </r>
      </text>
    </comment>
    <comment ref="F10" authorId="0" shapeId="0" xr:uid="{16D1907F-68E7-48EF-92F2-ECAF3E2FA13B}">
      <text>
        <r>
          <rPr>
            <sz val="10"/>
            <color indexed="81"/>
            <rFont val="Tahoma"/>
            <family val="2"/>
            <charset val="238"/>
          </rPr>
          <t>Saját domaines integráció, képernyőmegosztás, felvétel, min. 100 résztvevő</t>
        </r>
      </text>
    </comment>
    <comment ref="F11" authorId="0" shapeId="0" xr:uid="{727E4670-5712-4408-8D3C-FA7A06CEF6C1}">
      <text>
        <r>
          <rPr>
            <sz val="10"/>
            <color rgb="FF000000"/>
            <rFont val="Tahoma"/>
            <family val="2"/>
            <charset val="238"/>
          </rPr>
          <t xml:space="preserve">A videókonferencia platform hosszú távú működését támogató szolgáltatás, amely magában foglalja a felhasználói fiókok létrehozását és törlését, jogosultságkezelést, rendszerfrissítéseket, hibajavításokat és alapvető helpdesk támogatást. </t>
        </r>
      </text>
    </comment>
    <comment ref="F12" authorId="0" shapeId="0" xr:uid="{9E14E893-7F79-4C7A-BD72-EDBF94F1ADB7}">
      <text>
        <r>
          <rPr>
            <sz val="10"/>
            <color indexed="81"/>
            <rFont val="Tahoma"/>
            <family val="2"/>
            <charset val="238"/>
          </rPr>
          <t>Legalább 5 napos képzés az alapkészségekre: e-mail, felhőhasználat, adatvédelem, alap IT-biztonság.</t>
        </r>
      </text>
    </comment>
    <comment ref="H12" authorId="0" shapeId="0" xr:uid="{A4F8A4DF-5834-432E-B478-DB3CE1D0FD51}">
      <text>
        <r>
          <rPr>
            <sz val="9"/>
            <color indexed="81"/>
            <rFont val="Tahoma"/>
            <family val="2"/>
            <charset val="238"/>
          </rPr>
          <t>Az „5.IKT-képzés biztosítása az alkalmazottaknak” fejlesztési célra tervezhető összeg nem haladhatja meg a projekt európai unió felé elszámolható összköltségének 20%-át</t>
        </r>
      </text>
    </comment>
    <comment ref="F13" authorId="0" shapeId="0" xr:uid="{25AB6C57-DBA0-4A9A-8316-0F0FE5B1BBF9}">
      <text>
        <r>
          <rPr>
            <sz val="10"/>
            <color indexed="81"/>
            <rFont val="Tahoma"/>
            <family val="2"/>
            <charset val="238"/>
          </rPr>
          <t>Legalább 2 napos képzés a haladó készségfejlesztésre: felhőeszközök (MS 365, Google Workspace), online együttműködés, adatmegosztás.</t>
        </r>
      </text>
    </comment>
    <comment ref="F14" authorId="0" shapeId="0" xr:uid="{C1D13FB2-8410-4734-AEC0-2B6C46C1E588}">
      <text>
        <r>
          <rPr>
            <sz val="10"/>
            <color indexed="81"/>
            <rFont val="Tahoma"/>
            <family val="2"/>
            <charset val="238"/>
          </rPr>
          <t>Helyszíni hibaelhárítás, konfiguráció, konzultáció informatikai és hálózati hibák elemzése, javítása</t>
        </r>
      </text>
    </comment>
    <comment ref="F15" authorId="0" shapeId="0" xr:uid="{6E74F2D7-ACD2-49D9-88AD-E397DC6404A7}">
      <text>
        <r>
          <rPr>
            <sz val="10"/>
            <color rgb="FF000000"/>
            <rFont val="Tahoma"/>
            <family val="2"/>
            <charset val="238"/>
          </rPr>
          <t>Legalább 3 napos IKT-biztonsági képzés: Kiberbiztonsági tudatosság, jelszókezelés, adathalászat felismerése, GDPR alapok.</t>
        </r>
      </text>
    </comment>
    <comment ref="G15" authorId="0" shapeId="0" xr:uid="{75B1BC7E-CBAD-4F88-BD4F-96FD81B7AB46}">
      <text>
        <r>
          <rPr>
            <sz val="9"/>
            <color indexed="81"/>
            <rFont val="Tahoma"/>
            <family val="2"/>
            <charset val="238"/>
          </rPr>
          <t xml:space="preserve">
- Önkéntes képzések vagy vállalaton belül elérhető információk révén (pl. intraneten);
- Kötelező képzés vagy kötelező tananyag áttekintése révén;
- Szerződés (pl. munkaszerződés) révén;
A vállalt lehetőségek függvényében lehetséges igazolási módok:
• Vállalkozáson belül megosztott információkról dokumentum vagy képernyőkép (pl. Intraneten elérhető tájékoztatás vagy e-mailben elküldött dokumentum)
• IT-biztonsági képzési tematika, segédanyagok
• Személyes képzés esetén:
• Jelenléti ív
• Fotódokumentáció a lefolytatott képzésről
• Amennyiben online formátumú a képzés:
• Képernyőkép vagy videofelvétel a szereplők, időpont, képzés tárgyának
egyértelmű azonosíthatóságával
• Szerződések, melyek tartalmazzák az IKT-biztonsággal kapcsolatos kötelezettségeket</t>
        </r>
      </text>
    </comment>
    <comment ref="H15" authorId="0" shapeId="0" xr:uid="{4EF7D336-B12B-4414-BF95-D8004612E25C}">
      <text>
        <r>
          <rPr>
            <sz val="9"/>
            <color indexed="81"/>
            <rFont val="Tahoma"/>
            <family val="2"/>
            <charset val="238"/>
          </rPr>
          <t>A „7.Alkalmazottak tájékoztatása az IKT-biztonsággal kapcsolatos kötelezettségeikről” fejlesztési célra tervezhető összeg nem haladhatja meg a projekt európai unió felé elszámolható összköltségének 10%-át</t>
        </r>
      </text>
    </comment>
    <comment ref="F16" authorId="0" shapeId="0" xr:uid="{8CA24992-2169-4BAA-A050-8923C34F9396}">
      <text>
        <r>
          <rPr>
            <sz val="10"/>
            <color rgb="FF000000"/>
            <rFont val="Tahoma"/>
            <family val="2"/>
            <charset val="238"/>
          </rPr>
          <t>Vírus- és kártevővédelem, valós idejű frissítés, tűzfal-integráció központi menedzsment.</t>
        </r>
      </text>
    </comment>
    <comment ref="F17" authorId="0" shapeId="0" xr:uid="{DE3755EA-A46B-48CA-AD60-F1F8D45931B2}">
      <text>
        <r>
          <rPr>
            <sz val="10"/>
            <color rgb="FF000000"/>
            <rFont val="Tahoma"/>
            <family val="2"/>
            <charset val="238"/>
          </rPr>
          <t>Fájlrendszer/posta mentés, napi inkrementális mentés, felhő vagy helyi cél</t>
        </r>
      </text>
    </comment>
    <comment ref="F18" authorId="0" shapeId="0" xr:uid="{8C438324-66D0-40F5-810C-AB0F99369648}">
      <text>
        <r>
          <rPr>
            <sz val="10"/>
            <color rgb="FF000000"/>
            <rFont val="Tahoma"/>
            <family val="2"/>
            <charset val="238"/>
          </rPr>
          <t xml:space="preserve">Helyzetfelmérést, szabályzat kidolgozását (mely egyebek mellett tartalmazza a jogosultságkezelési és mentési rend és a biztonsági előírásokat) és a vezetői jóváhagyását szükséges tartalmaznia. </t>
        </r>
      </text>
    </comment>
    <comment ref="F19" authorId="0" shapeId="0" xr:uid="{EFD03721-1B48-4DA7-8E03-646DDD2887A3}">
      <text>
        <r>
          <rPr>
            <sz val="10"/>
            <color rgb="FF000000"/>
            <rFont val="Tahoma"/>
            <family val="2"/>
            <charset val="238"/>
          </rPr>
          <t>A felmérést, a dokumentációk (adatáramlási térkép, incidenskezelési folyamat) elkészítését és az adatkezelési nyilvántartás összeállítását szükséges tartalmaznia.</t>
        </r>
      </text>
    </comment>
    <comment ref="F20" authorId="0" shapeId="0" xr:uid="{48193143-15DD-4A41-A464-C7A5CA98A655}">
      <text>
        <r>
          <rPr>
            <sz val="10"/>
            <color indexed="81"/>
            <rFont val="Tahoma"/>
            <family val="2"/>
            <charset val="238"/>
          </rPr>
          <t>Incidenskezelési menedzsment képzés: jelszókezelés, adathalászat és annak felismerése, biztonságos eszközhasználat, adatvédelem, GDPR.</t>
        </r>
      </text>
    </comment>
    <comment ref="F21" authorId="0" shapeId="0" xr:uid="{4F1BCB4C-C0FF-4736-9F72-3E6F2EB3BDEC}">
      <text>
        <r>
          <rPr>
            <sz val="10"/>
            <color indexed="81"/>
            <rFont val="Tahoma"/>
            <family val="2"/>
            <charset val="238"/>
          </rPr>
          <t>Minősített tanúsítványon alapuló elektronikus aláírás, időbélyeggel. Az IKT-biztonsági szabályzatok, adatkezelési és működési dokumentumok hitelesítésére, valamint elektronikus szerződéskötésre alkalmas megoldás.</t>
        </r>
      </text>
    </comment>
    <comment ref="F22" authorId="0" shapeId="0" xr:uid="{F8DAFE21-7381-4A18-BCC2-B2B44E60C5E6}">
      <text>
        <r>
          <rPr>
            <sz val="10"/>
            <color rgb="FF000000"/>
            <rFont val="Tahoma"/>
            <family val="2"/>
            <charset val="238"/>
          </rPr>
          <t>3–5 aloldal, reszponzív sablon, kapcsolatfelvételi űrlap, GDPR-cookie banner</t>
        </r>
      </text>
    </comment>
    <comment ref="F23" authorId="0" shapeId="0" xr:uid="{4805005A-CA70-4CEA-9BBB-EE6729BD803D}">
      <text>
        <r>
          <rPr>
            <sz val="10"/>
            <color rgb="FF000000"/>
            <rFont val="Tahoma"/>
            <family val="2"/>
            <charset val="238"/>
          </rPr>
          <t>CMS-frissítések, biztonsági mentések, hibajavítás</t>
        </r>
      </text>
    </comment>
    <comment ref="F24" authorId="0" shapeId="0" xr:uid="{84067393-C778-4ED2-8483-29AD1BBA12B7}">
      <text>
        <r>
          <rPr>
            <sz val="10"/>
            <color indexed="81"/>
            <rFont val="Tahoma"/>
            <family val="2"/>
            <charset val="238"/>
          </rPr>
          <t>99,9% rendelkezésre állás, SSL-támogatás, 10–20 GB tárhely</t>
        </r>
      </text>
    </comment>
    <comment ref="F25" authorId="0" shapeId="0" xr:uid="{B8CEA376-E6FA-4539-A4D9-DE812F4299D3}">
      <text>
        <r>
          <rPr>
            <sz val="10"/>
            <color indexed="81"/>
            <rFont val="Tahoma"/>
            <family val="2"/>
            <charset val="238"/>
          </rPr>
          <t>DV vagy OV tanúsítvány (Let’s Encrypt: 0 Ft)</t>
        </r>
      </text>
    </comment>
    <comment ref="F26" authorId="0" shapeId="0" xr:uid="{99734BFA-2EBA-4F50-9DBE-B95E0D18132F}">
      <text>
        <r>
          <rPr>
            <sz val="10"/>
            <color indexed="81"/>
            <rFont val="Tahoma"/>
            <family val="2"/>
            <charset val="238"/>
          </rPr>
          <t>Közösségimédia-felületek (pl. Facebook, Instagram) rendszeres frissítése és tartalomgyártása; alapvető célcsoport-meghatározás, posztok és vizuális anyagok elkészítése, ütemezése, valamint hirdetések létrehozása és kezelése.</t>
        </r>
      </text>
    </comment>
    <comment ref="F27" authorId="0" shapeId="0" xr:uid="{9EFD41A8-F944-4437-BE63-269896C20CA4}">
      <text>
        <r>
          <rPr>
            <sz val="10"/>
            <color indexed="81"/>
            <rFont val="Tahoma"/>
            <family val="2"/>
            <charset val="238"/>
          </rPr>
          <t>- Közösségimédia-felületek (pl. Facebook, Instagram) rendszeres frissítése és tartalomgyártása; 
- alapvető célcsoport-meghatározás, posztok és vizuális anyagok elkészítése, ütemezése, valamint hirdetések létrehozása és kezelése.</t>
        </r>
      </text>
    </comment>
    <comment ref="F28" authorId="0" shapeId="0" xr:uid="{0C268823-D64D-4B03-B407-089B0E8BA468}">
      <text>
        <r>
          <rPr>
            <sz val="10"/>
            <color indexed="81"/>
            <rFont val="Tahoma"/>
            <family val="2"/>
            <charset val="238"/>
          </rPr>
          <t>Online marketing alapfogalmak megismerése, így hatékony profil kialakítása, közösségi média kommunikáció alapjai, tartalomkészítés és kampánytervezés bevezető szinten.</t>
        </r>
      </text>
    </comment>
    <comment ref="H28" authorId="0" shapeId="0" xr:uid="{EB34A43A-884E-4B36-B922-D29C42C59C71}">
      <text>
        <r>
          <rPr>
            <sz val="9"/>
            <color indexed="81"/>
            <rFont val="Tahoma"/>
            <family val="2"/>
            <charset val="238"/>
          </rPr>
          <t>A „12. Kettő vagy több típusú közösségi média használata” fejlesztési cél esetén, a Képzés összetevőben maximum 1 fő képzése tervezhető és számolható el a projekt keretében</t>
        </r>
      </text>
    </comment>
    <comment ref="F29" authorId="0" shapeId="0" xr:uid="{514BE534-5AC3-4CE2-85B9-CEBDFAA64CB9}">
      <text>
        <r>
          <rPr>
            <sz val="10"/>
            <color rgb="FF000000"/>
            <rFont val="Tahoma"/>
            <family val="2"/>
            <charset val="238"/>
          </rPr>
          <t xml:space="preserve">1 OCPU, </t>
        </r>
        <r>
          <rPr>
            <b/>
            <sz val="10"/>
            <color rgb="FF000000"/>
            <rFont val="Tahoma"/>
            <family val="2"/>
            <charset val="238"/>
          </rPr>
          <t>20-24 GB RAM</t>
        </r>
        <r>
          <rPr>
            <sz val="10"/>
            <color rgb="FF000000"/>
            <rFont val="Tahoma"/>
            <family val="2"/>
            <charset val="238"/>
          </rPr>
          <t>, 200 GB SSD tárhely, 99,9% rendelkezésre állás, fix IP.</t>
        </r>
      </text>
    </comment>
    <comment ref="F30" authorId="0" shapeId="0" xr:uid="{7A1A812D-388E-474F-BD52-8769C16293BA}">
      <text>
        <r>
          <rPr>
            <sz val="10"/>
            <color rgb="FF000000"/>
            <rFont val="Tahoma"/>
            <family val="2"/>
            <charset val="238"/>
          </rPr>
          <t>1 TB redundáns tárhely, automatikus mentés, verziókövetés</t>
        </r>
        <r>
          <rPr>
            <sz val="9"/>
            <color rgb="FF000000"/>
            <rFont val="Tahoma"/>
            <family val="2"/>
            <charset val="238"/>
          </rPr>
          <t xml:space="preserve">
</t>
        </r>
      </text>
    </comment>
    <comment ref="F31" authorId="0" shapeId="0" xr:uid="{2F1B7B4F-D862-4520-8C5A-A255103AB680}">
      <text>
        <r>
          <rPr>
            <sz val="10"/>
            <color rgb="FF000000"/>
            <rFont val="Tahoma"/>
            <family val="2"/>
            <charset val="238"/>
          </rPr>
          <t>Üzleti igények felmérése, rendszerbeállítás, jogosultság konfigurálás</t>
        </r>
      </text>
    </comment>
    <comment ref="F32" authorId="0" shapeId="0" xr:uid="{AF468502-987D-474A-82EF-A98A34799A18}">
      <text>
        <r>
          <rPr>
            <sz val="10"/>
            <color indexed="81"/>
            <rFont val="Tahoma"/>
            <family val="2"/>
            <charset val="238"/>
          </rPr>
          <t>Üzenetküldés és feltöltés, képalkotás, mélyreható kutatás és ügynök mód</t>
        </r>
      </text>
    </comment>
    <comment ref="F33" authorId="0" shapeId="0" xr:uid="{199A4516-CDCF-41D8-A28E-D5561E275287}">
      <text>
        <r>
          <rPr>
            <sz val="10"/>
            <color rgb="FF000000"/>
            <rFont val="Tahoma"/>
            <family val="2"/>
            <charset val="238"/>
          </rPr>
          <t>5–10 felhasználós rendszer, modulok pl.: pénzügy, értékesítés, raktár, alap CRM. Elvárás legalább két új modul bevezetése és használata.</t>
        </r>
      </text>
    </comment>
    <comment ref="F34" authorId="0" shapeId="0" xr:uid="{8B3A198C-2874-4246-A322-1C98BF8FDED1}">
      <text>
        <r>
          <rPr>
            <sz val="10"/>
            <color rgb="FF000000"/>
            <rFont val="Tahoma"/>
            <family val="2"/>
            <charset val="238"/>
          </rPr>
          <t>Igényfelmérés, paraméterezés, adatimport, tesztelés, oktatás (max. 20 fő).</t>
        </r>
      </text>
    </comment>
    <comment ref="F35" authorId="0" shapeId="0" xr:uid="{2D1E08B1-A68A-4E97-AE54-5FBD3916E153}">
      <text>
        <r>
          <rPr>
            <sz val="10"/>
            <color indexed="81"/>
            <rFont val="Tahoma"/>
            <family val="2"/>
            <charset val="238"/>
          </rPr>
          <t>3–10 felhasználós rendszer, ügyféladatbázis, értékesítési csővezeték (pipeline), e-mail integráció, riportok</t>
        </r>
      </text>
    </comment>
    <comment ref="F36" authorId="0" shapeId="0" xr:uid="{3697C5DA-0263-4F77-8608-A3AB56376DBB}">
      <text>
        <r>
          <rPr>
            <sz val="10"/>
            <color indexed="81"/>
            <rFont val="Tahoma"/>
            <family val="2"/>
            <charset val="238"/>
          </rPr>
          <t>Igényfelmérés, adatmigráció, jogosultságok beállítása, testreszabott mezők létrehozása</t>
        </r>
      </text>
    </comment>
    <comment ref="F37" authorId="0" shapeId="0" xr:uid="{D8F1662C-2D9E-412C-9251-CA50D65DAD7A}">
      <text>
        <r>
          <rPr>
            <sz val="10"/>
            <color rgb="FF000000"/>
            <rFont val="Tahoma"/>
            <family val="2"/>
            <charset val="238"/>
          </rPr>
          <t>Korlátlan számlakiállítás, NAV API kapcsolat, eszámla funkció</t>
        </r>
      </text>
    </comment>
    <comment ref="F38" authorId="0" shapeId="0" xr:uid="{6AB2B254-6AC2-4E05-9729-0FC31732B0D0}">
      <text>
        <r>
          <rPr>
            <sz val="10"/>
            <color rgb="FF000000"/>
            <rFont val="Tahoma"/>
            <family val="2"/>
            <charset val="238"/>
          </rPr>
          <t>Termékkatalógus, kosár, rendeléskövetés, alap integrációk. Bankkártyás fizetés beállítása, tesztelés.</t>
        </r>
      </text>
    </comment>
    <comment ref="F39" authorId="0" shapeId="0" xr:uid="{7B9E57C7-B6D1-47DC-9D59-17271AF77934}">
      <text>
        <r>
          <rPr>
            <sz val="10"/>
            <color indexed="81"/>
            <rFont val="Tahoma"/>
            <family val="2"/>
            <charset val="238"/>
          </rPr>
          <t>Webshophoz rendelt .hu domain, SSL, 10–20 GB tárhely, Bankkártyás fizetés beállítása, tesztelés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Szilárd Pankucsi</author>
  </authors>
  <commentList>
    <comment ref="D4" authorId="0" shapeId="0" xr:uid="{59DAEDCA-F92D-4AB3-B3BC-B8D4013D6C86}">
      <text>
        <r>
          <rPr>
            <sz val="10"/>
            <color indexed="81"/>
            <rFont val="Tahoma"/>
            <family val="2"/>
            <charset val="238"/>
          </rPr>
          <t>- E-mail fiókhoz való hozzáférést lehetővé tevő üzleti megoldások
- Dokumentummegosztást vagy kollaborációs munkát támogató üzleti felhő megoldások
- VPN távoli hozzáférés az üzleti munkakörnyezethez, adatokhoz,dokumentumokhoz
- Felhő alapú üzleti szoftverek (pl. ERP, CRM, eiratkezelés)
- Vagy bármely igazolható olyan üzleti megoldás megléte, amely a fenti funkciókhoz távolról való hozzáférést támogatja</t>
        </r>
      </text>
    </comment>
    <comment ref="D5" authorId="0" shapeId="0" xr:uid="{BF2401B7-C8A1-4981-AE0E-938AFD17864C}">
      <text>
        <r>
          <rPr>
            <sz val="10"/>
            <color indexed="81"/>
            <rFont val="Tahoma"/>
            <family val="2"/>
            <charset val="238"/>
          </rPr>
          <t>Regisztráció/ fenntartás, DNS-kezelés</t>
        </r>
      </text>
    </comment>
    <comment ref="D6" authorId="0" shapeId="0" xr:uid="{E250B090-9FD1-491E-B735-61853F0D9187}">
      <text>
        <r>
          <rPr>
            <sz val="10"/>
            <color indexed="81"/>
            <rFont val="Tahoma"/>
            <family val="2"/>
            <charset val="238"/>
          </rPr>
          <t>Távoli segítségnyújtás, frissítés, alapbiztonsági felügyelet, 
SLA 8/5</t>
        </r>
      </text>
    </comment>
    <comment ref="D7" authorId="0" shapeId="0" xr:uid="{51FF93DD-CBFC-4279-B149-E0DA501FCB3B}">
      <text>
        <r>
          <rPr>
            <sz val="10"/>
            <color indexed="81"/>
            <rFont val="Tahoma"/>
            <family val="2"/>
            <charset val="238"/>
          </rPr>
          <t>Saját domaines integráció, képernyőmegosztás, felvétel, min. 100 résztvevő</t>
        </r>
      </text>
    </comment>
    <comment ref="D8" authorId="0" shapeId="0" xr:uid="{C112D1D1-E961-48F6-9123-870FCD454349}">
      <text>
        <r>
          <rPr>
            <sz val="9"/>
            <color indexed="81"/>
            <rFont val="Tahoma"/>
            <family val="2"/>
            <charset val="238"/>
          </rPr>
          <t xml:space="preserve">A videókonferencia platform hosszú távú működését támogató szolgáltatás, amely magában foglalja a felhasználói fiókok létrehozását és törlését, jogosultságkezelést, rendszerfrissítéseket, hibajavításokat és alapvető helpdesk támogatást. </t>
        </r>
      </text>
    </comment>
    <comment ref="D9" authorId="0" shapeId="0" xr:uid="{BD26681D-751C-4FD6-BB00-82EACBD824E5}">
      <text>
        <r>
          <rPr>
            <sz val="10"/>
            <color indexed="81"/>
            <rFont val="Tahoma"/>
            <family val="2"/>
            <charset val="238"/>
          </rPr>
          <t>1 nap (6–8 óra) alapkészségek: 
e-mail, felhőhasználat, adatvédelem, alap IT-biztonság</t>
        </r>
      </text>
    </comment>
    <comment ref="D10" authorId="0" shapeId="0" xr:uid="{570610A8-BACF-4D8E-BB23-2A46806A8F01}">
      <text>
        <r>
          <rPr>
            <sz val="10"/>
            <color indexed="81"/>
            <rFont val="Tahoma"/>
            <family val="2"/>
            <charset val="238"/>
          </rPr>
          <t>1 napos, felhőeszközök (MS 365, Google Workspace), 
online együttműködés, adatmegosztás</t>
        </r>
      </text>
    </comment>
    <comment ref="D11" authorId="0" shapeId="0" xr:uid="{60CB5E31-9CC6-40AF-BDED-865FBB4250F5}">
      <text>
        <r>
          <rPr>
            <sz val="10"/>
            <color indexed="81"/>
            <rFont val="Tahoma"/>
            <family val="2"/>
            <charset val="238"/>
          </rPr>
          <t>Helyszíni hibaelhárítás, konfiguráció, konzultáció informatikai és hálózati hibák elemzése, javítása</t>
        </r>
      </text>
    </comment>
    <comment ref="D12" authorId="0" shapeId="0" xr:uid="{D550E03B-8CDF-4CD3-BF27-498EDEFF0568}">
      <text>
        <r>
          <rPr>
            <sz val="10"/>
            <color indexed="81"/>
            <rFont val="Tahoma"/>
            <family val="2"/>
            <charset val="238"/>
          </rPr>
          <t>Kiberbiztonsági tudatosság, jelszókezelés, adathalászat felismerése, GDPR alapok</t>
        </r>
      </text>
    </comment>
    <comment ref="D13" authorId="0" shapeId="0" xr:uid="{E409E4E1-9106-4C60-ADB3-D3213E496245}">
      <text>
        <r>
          <rPr>
            <sz val="10"/>
            <color indexed="81"/>
            <rFont val="Tahoma"/>
            <family val="2"/>
            <charset val="238"/>
          </rPr>
          <t>Vírus- és kártevővédelem, valós idejű frissítés, központi menedzsment</t>
        </r>
      </text>
    </comment>
    <comment ref="D14" authorId="0" shapeId="0" xr:uid="{263AD284-90F3-4A83-B925-ABA3C9AC259A}">
      <text>
        <r>
          <rPr>
            <sz val="10"/>
            <color indexed="81"/>
            <rFont val="Tahoma"/>
            <family val="2"/>
            <charset val="238"/>
          </rPr>
          <t>Fájlrendszer/posta mentés, napi inkrementális mentés, felhő vagy helyi cél</t>
        </r>
      </text>
    </comment>
    <comment ref="D15" authorId="0" shapeId="0" xr:uid="{4B7A27F5-3496-4CE6-8D56-36A3310C7064}">
      <text>
        <r>
          <rPr>
            <sz val="9"/>
            <color indexed="81"/>
            <rFont val="Tahoma"/>
            <family val="2"/>
            <charset val="238"/>
          </rPr>
          <t>Helyzetfelmérést, szabályzat kidolgozását és a vezetői jóváhagyását szükséges tartalmaznia</t>
        </r>
      </text>
    </comment>
    <comment ref="D16" authorId="0" shapeId="0" xr:uid="{94BA549E-DC2E-4873-A21E-BABF388D7F84}">
      <text>
        <r>
          <rPr>
            <sz val="10"/>
            <color indexed="81"/>
            <rFont val="Tahoma"/>
            <family val="2"/>
            <charset val="238"/>
          </rPr>
          <t>A felmérést, a dokumentációk elkészítését és az adatkezelési nyilvántartás összeállítását szükséges tartalmaznia.</t>
        </r>
      </text>
    </comment>
    <comment ref="D17" authorId="0" shapeId="0" xr:uid="{99C216F8-A073-46C7-BDDF-B6F2EB23AC46}">
      <text>
        <r>
          <rPr>
            <sz val="10"/>
            <color indexed="81"/>
            <rFont val="Tahoma"/>
            <family val="2"/>
            <charset val="238"/>
          </rPr>
          <t>- 2–3 órás interaktív előadás: jelszókezelés, adathalászat, biztonságos eszközhasználat, adatvédelem
- Online kurzus, 12 hónapos hozzáféréssel (ITbiztonsági alapok, GDPR, adathalászat felismerése)
- Plakátok, infografikák, belső útmutatók, intranet anyagok
- Folyamatleírás és sablon dokumentáció az incidensek rögzítésére és továbbítására</t>
        </r>
      </text>
    </comment>
    <comment ref="D18" authorId="0" shapeId="0" xr:uid="{2BE8FA4B-3C5E-4A89-BB48-6A68C0A2DC1E}">
      <text>
        <r>
          <rPr>
            <sz val="10"/>
            <color indexed="81"/>
            <rFont val="Tahoma"/>
            <family val="2"/>
            <charset val="238"/>
          </rPr>
          <t>Minősített tanúsítványon alapuló elektronikus aláírás, időbélyeggel. Az IKT-biztonsági szabályzatok, adatkezelési és működési dokumentumok hitelesítésére, valamint elektronikus szerződéskötésre alkalmas megoldás</t>
        </r>
      </text>
    </comment>
    <comment ref="D19" authorId="0" shapeId="0" xr:uid="{B0F6952B-3973-48F3-B1A6-43FB409460A6}">
      <text>
        <r>
          <rPr>
            <sz val="9"/>
            <color indexed="81"/>
            <rFont val="Tahoma"/>
            <family val="2"/>
            <charset val="238"/>
          </rPr>
          <t>3–5 aloldal, reszponzív sablon, kapcsolatfelvételi űrlap, GDPR-cookie banner</t>
        </r>
      </text>
    </comment>
    <comment ref="D20" authorId="0" shapeId="0" xr:uid="{90F5B4EF-1A9D-4639-8E0C-96619B136028}">
      <text>
        <r>
          <rPr>
            <sz val="9"/>
            <color indexed="81"/>
            <rFont val="Tahoma"/>
            <family val="2"/>
            <charset val="238"/>
          </rPr>
          <t>CMS-frissítések, biztonsági mentések, hibajavítás</t>
        </r>
      </text>
    </comment>
    <comment ref="D21" authorId="0" shapeId="0" xr:uid="{04484536-BB01-46A5-93AE-D525F844ABCB}">
      <text>
        <r>
          <rPr>
            <sz val="9"/>
            <color indexed="81"/>
            <rFont val="Tahoma"/>
            <family val="2"/>
            <charset val="238"/>
          </rPr>
          <t>99,9% rendelkezésre állás, SSL-támogatás, 10–20 GB tárhely</t>
        </r>
      </text>
    </comment>
    <comment ref="D22" authorId="0" shapeId="0" xr:uid="{F8615E3B-9234-4661-9374-1CF527E02382}">
      <text>
        <r>
          <rPr>
            <sz val="9"/>
            <color indexed="81"/>
            <rFont val="Tahoma"/>
            <family val="2"/>
            <charset val="238"/>
          </rPr>
          <t>DV vagy OV tanúsítvány (Let’s Encrypt: 0 Ft)</t>
        </r>
      </text>
    </comment>
    <comment ref="D23" authorId="0" shapeId="0" xr:uid="{2CD72C9E-319C-4212-B8B6-F16D454FBCA6}">
      <text>
        <r>
          <rPr>
            <sz val="9"/>
            <color indexed="81"/>
            <rFont val="Tahoma"/>
            <family val="2"/>
            <charset val="238"/>
          </rPr>
          <t>Tartalomkészítés és publikálás egy közösségi média platformon, beleértve a grafikai elemek elkészítését, a bejegyzések ütemezését, a fiók beállítását és optimalizálását, valamint a tevékenységről készített havi riportot.</t>
        </r>
      </text>
    </comment>
    <comment ref="D24" authorId="0" shapeId="0" xr:uid="{56FD6CAF-80ED-418C-B778-3B6BC4F34E57}">
      <text>
        <r>
          <rPr>
            <sz val="9"/>
            <color indexed="81"/>
            <rFont val="Tahoma"/>
            <family val="2"/>
            <charset val="238"/>
          </rPr>
          <t>- Közösségimédia-felületek (pl. Facebook, Instagram) rendszeres frissítése és
tartalomgyártása; 
- alapvető célcsoportmeghatározás, posztok és vizuális anyagok elkészítése, ütemezése, valamint hirdetések létrehozása és kezelése</t>
        </r>
      </text>
    </comment>
    <comment ref="D25" authorId="0" shapeId="0" xr:uid="{C18829D3-9F4B-464F-9245-8B3ACE5FB5BA}">
      <text>
        <r>
          <rPr>
            <sz val="9"/>
            <color indexed="81"/>
            <rFont val="Tahoma"/>
            <family val="2"/>
            <charset val="238"/>
          </rPr>
          <t>Online marketing alapfogalmak megismerése, így hatékony profil kialakítása, közösségi média kommunikáció alapjai, tartalomkészítés és kampánytervezés bevezető szinten.</t>
        </r>
      </text>
    </comment>
    <comment ref="D26" authorId="0" shapeId="0" xr:uid="{3C01731B-DD9A-4F94-A4A5-5DB8AE6D9AC6}">
      <text>
        <r>
          <rPr>
            <sz val="9"/>
            <color indexed="81"/>
            <rFont val="Tahoma"/>
            <family val="2"/>
            <charset val="238"/>
          </rPr>
          <t>1 OCPU, 84 GB RAM, 200 GB SSD tárhely, 99,9% rendelkezésre állás, fix IP</t>
        </r>
      </text>
    </comment>
    <comment ref="D27" authorId="0" shapeId="0" xr:uid="{B9061118-D17C-4E97-8F53-53C847EA6C9C}">
      <text>
        <r>
          <rPr>
            <sz val="9"/>
            <color indexed="81"/>
            <rFont val="Tahoma"/>
            <family val="2"/>
            <charset val="238"/>
          </rPr>
          <t xml:space="preserve">1 TB redundáns tárhely, automatikus mentés, verziókövetés
</t>
        </r>
      </text>
    </comment>
    <comment ref="D28" authorId="0" shapeId="0" xr:uid="{DC99F7E6-999B-4D18-A0E2-03E3FAD984A8}">
      <text>
        <r>
          <rPr>
            <sz val="9"/>
            <color indexed="81"/>
            <rFont val="Tahoma"/>
            <family val="2"/>
            <charset val="238"/>
          </rPr>
          <t>Üzleti igények felmérése, rendszerbeállítás, jogosultság konfigurálás</t>
        </r>
      </text>
    </comment>
    <comment ref="D29" authorId="0" shapeId="0" xr:uid="{62CEE855-164D-4A49-939E-C629103F6C35}">
      <text>
        <r>
          <rPr>
            <sz val="9"/>
            <color indexed="81"/>
            <rFont val="Tahoma"/>
            <family val="2"/>
            <charset val="238"/>
          </rPr>
          <t>Üzenetküldés és feltöltés, képalkotás, mélyreható kutatás és ügynök mód</t>
        </r>
      </text>
    </comment>
    <comment ref="D30" authorId="0" shapeId="0" xr:uid="{03196736-EDB5-4299-9A52-160C468E6C7B}">
      <text>
        <r>
          <rPr>
            <b/>
            <sz val="9"/>
            <color indexed="81"/>
            <rFont val="Tahoma"/>
            <family val="2"/>
            <charset val="238"/>
          </rPr>
          <t xml:space="preserve"> </t>
        </r>
        <r>
          <rPr>
            <sz val="9"/>
            <color indexed="81"/>
            <rFont val="Tahoma"/>
            <family val="2"/>
            <charset val="238"/>
          </rPr>
          <t>5–10 felhasználós rendszer, modulok: pénzügy, értékesítés, raktár, alap CRM</t>
        </r>
      </text>
    </comment>
    <comment ref="D31" authorId="0" shapeId="0" xr:uid="{5039DF77-C824-468C-8249-A208839E7EAF}">
      <text>
        <r>
          <rPr>
            <sz val="9"/>
            <color indexed="81"/>
            <rFont val="Tahoma"/>
            <family val="2"/>
            <charset val="238"/>
          </rPr>
          <t>Igényfelmérés, paraméterezés, adatimport, tesztelés, oktatás (max. 20 fő)</t>
        </r>
      </text>
    </comment>
    <comment ref="D32" authorId="0" shapeId="0" xr:uid="{475AD4DE-68B2-4EEB-BFBB-0286CA48771C}">
      <text>
        <r>
          <rPr>
            <sz val="9"/>
            <color indexed="81"/>
            <rFont val="Tahoma"/>
            <family val="2"/>
            <charset val="238"/>
          </rPr>
          <t>3–10 felhasználós rendszer, ügyféladatbázis, értékesítési csővezeték (pipeline), e-mail integráció, riportok</t>
        </r>
      </text>
    </comment>
    <comment ref="D33" authorId="0" shapeId="0" xr:uid="{E24F7740-517E-44A8-A61A-0813FE645140}">
      <text>
        <r>
          <rPr>
            <sz val="9"/>
            <color indexed="81"/>
            <rFont val="Tahoma"/>
            <family val="2"/>
            <charset val="238"/>
          </rPr>
          <t>Igényfelmérés, adatmigráció, jogosultságok beállítása, testreszabott mezők létrehozása</t>
        </r>
      </text>
    </comment>
    <comment ref="D34" authorId="0" shapeId="0" xr:uid="{C4434CB8-31DE-4F30-BCE9-30168D010647}">
      <text>
        <r>
          <rPr>
            <sz val="9"/>
            <color indexed="81"/>
            <rFont val="Tahoma"/>
            <family val="2"/>
            <charset val="238"/>
          </rPr>
          <t>Korlátlan számlakiállítás, NAV API kapcsolat, eszámla funkció</t>
        </r>
      </text>
    </comment>
    <comment ref="D35" authorId="0" shapeId="0" xr:uid="{59B48072-41F5-40A3-A2C9-8FD80D63D1CA}">
      <text>
        <r>
          <rPr>
            <sz val="9"/>
            <color indexed="81"/>
            <rFont val="Tahoma"/>
            <family val="2"/>
            <charset val="238"/>
          </rPr>
          <t>Termékkatalógus, kosár, rendeléskövetés, alap integrációk</t>
        </r>
      </text>
    </comment>
    <comment ref="D36" authorId="0" shapeId="0" xr:uid="{6069DA44-E5E0-40F4-B298-CB92A2411869}">
      <text>
        <r>
          <rPr>
            <sz val="9"/>
            <color indexed="81"/>
            <rFont val="Tahoma"/>
            <family val="2"/>
            <charset val="238"/>
          </rPr>
          <t>Webshophoz rendelt .hu domain, SSL, 10–20 GB tárhely, Bankkártyás fizetés beállítása, tesztelés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Szilárd Pankucsi</author>
  </authors>
  <commentList>
    <comment ref="F12" authorId="0" shapeId="0" xr:uid="{598870A9-1CEC-41D5-BF04-0CD0BD13D5B4}">
      <text>
        <r>
          <rPr>
            <sz val="9"/>
            <color indexed="81"/>
            <rFont val="Tahoma"/>
            <family val="2"/>
            <charset val="238"/>
          </rPr>
          <t>beépített költség, max 7%
• Projektmenedzsment költség
• Tájékoztatás, nyilvánosság biztosítása (Felhívás 6.2. pontja szerint)
   a Felhívás 6.2.1 pontjában rögzített követelmények teljesítésének igazolása
• Általános (rezsi) költségek (beleértve az internet előfizetés költségét is).
   alátámasztás csatolása nem szükséges</t>
        </r>
      </text>
    </comment>
  </commentList>
</comments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B245F1DB-A609-4B27-A7DB-D7F146278D6E}" keepAlive="1" interval="30" name="Lekérdezés - Napi árfolyamok: 2026  február 20 , péntek" description="A munkafüzetben levő „Napi árfolyamok: 2026  február 20 , péntek” lekérdezés kapcsolata" type="5" refreshedVersion="8" background="1" refreshOnLoad="1" saveData="1">
    <dbPr connection="Provider=Microsoft.Mashup.OleDb.1;Data Source=$Workbook$;Location=&quot;Napi árfolyamok: 2026  február 20 , péntek&quot;;Extended Properties=&quot;&quot;" command="SELECT * FROM [Napi árfolyamok: 2026  február 20 , péntek]"/>
  </connection>
</connections>
</file>

<file path=xl/sharedStrings.xml><?xml version="1.0" encoding="utf-8"?>
<sst xmlns="http://schemas.openxmlformats.org/spreadsheetml/2006/main" count="742" uniqueCount="382">
  <si>
    <t>Ssz.</t>
  </si>
  <si>
    <t>Fejlesztési célok</t>
  </si>
  <si>
    <t>1.</t>
  </si>
  <si>
    <t>Átalányköltség keretében van lehetőség elszámolni, mely a meghatározott egységköltségekbe már beépítésre kerültek.</t>
  </si>
  <si>
    <t>2.</t>
  </si>
  <si>
    <t>3.</t>
  </si>
  <si>
    <t>Távoli hozzáférés a következők valamelyikéhez: e-mail, dokumentumok, üzleti alkalmazás</t>
  </si>
  <si>
    <t>SaaS irodai csomag</t>
  </si>
  <si>
    <t>felhasználó/hó</t>
  </si>
  <si>
    <t>Domain regisztráció</t>
  </si>
  <si>
    <t>hó</t>
  </si>
  <si>
    <t>Havidíjas IT-üzemeltetés (alapszint)</t>
  </si>
  <si>
    <t>4.</t>
  </si>
  <si>
    <t>Online (távoli) megbeszélések tartása</t>
  </si>
  <si>
    <t>Videókonferencia platform</t>
  </si>
  <si>
    <t>Bevezetési, üzemeltetési szolgáltatás</t>
  </si>
  <si>
    <t>5.</t>
  </si>
  <si>
    <t>IKT-képzés biztosítása az alkalmazottaknak</t>
  </si>
  <si>
    <r>
      <t>IKT-alapképzés</t>
    </r>
    <r>
      <rPr>
        <sz val="10"/>
        <color rgb="FF000000"/>
        <rFont val="Consolas"/>
        <family val="3"/>
        <charset val="238"/>
      </rPr>
      <t>**</t>
    </r>
  </si>
  <si>
    <t>fő</t>
  </si>
  <si>
    <r>
      <t>Haladó digitális készségfejlesztés</t>
    </r>
    <r>
      <rPr>
        <sz val="10"/>
        <color rgb="FF000000"/>
        <rFont val="Consolas"/>
        <family val="3"/>
        <charset val="238"/>
      </rPr>
      <t>**</t>
    </r>
  </si>
  <si>
    <t>6.</t>
  </si>
  <si>
    <t>IKT-szakember igénybevétele</t>
  </si>
  <si>
    <t>óra</t>
  </si>
  <si>
    <t>7.</t>
  </si>
  <si>
    <t>Alkalmazottak tájékoztatása az IKT-biztonsággal kapcsolatos kötelezettségeikről</t>
  </si>
  <si>
    <r>
      <t>IKT-biztonsági képzés</t>
    </r>
    <r>
      <rPr>
        <sz val="10"/>
        <color rgb="FF000000"/>
        <rFont val="Consolas"/>
        <family val="3"/>
        <charset val="238"/>
      </rPr>
      <t>***</t>
    </r>
  </si>
  <si>
    <t>8.</t>
  </si>
  <si>
    <t>Legalább 3 IKT-biztonsági intézkedés alkalmazása</t>
  </si>
  <si>
    <t>Végpontvédelmi licenc</t>
  </si>
  <si>
    <t>db/hó</t>
  </si>
  <si>
    <t>Biztonsági mentés</t>
  </si>
  <si>
    <t>9.</t>
  </si>
  <si>
    <t>IKT-biztonsági gyakorlatokat, eljárásokat rögzítő dokumentumok megléte</t>
  </si>
  <si>
    <t>IBSZ (Informatikai Biztonsági Szabályzat) kidolgozása</t>
  </si>
  <si>
    <t>egyszeri költség</t>
  </si>
  <si>
    <t>GDPR alapfelmérés és adatkezelési nyilvántartás</t>
  </si>
  <si>
    <t>Incidenskezelési terv és oktatás</t>
  </si>
  <si>
    <t>Digitális aláírás szolgáltatás</t>
  </si>
  <si>
    <t>10.</t>
  </si>
  <si>
    <t>Saját weboldallal/honlappal való rendelkezés</t>
  </si>
  <si>
    <t>Saját weboldal kialakítása</t>
  </si>
  <si>
    <t>Karbantartás/frissítés</t>
  </si>
  <si>
    <t>Webtárhely</t>
  </si>
  <si>
    <t>SSL tanúsítvány</t>
  </si>
  <si>
    <t>11.</t>
  </si>
  <si>
    <t>Bármilyen közösségi média használata</t>
  </si>
  <si>
    <t>Tartalomgyártás</t>
  </si>
  <si>
    <t>12.</t>
  </si>
  <si>
    <t>Kettő vagy több típusú közösségi média használata</t>
  </si>
  <si>
    <t>Online jelenlét és hirdetések</t>
  </si>
  <si>
    <t>Képzés*</t>
  </si>
  <si>
    <t>13.</t>
  </si>
  <si>
    <t>Bármilyen fizetős felhőszolgáltatás használata</t>
  </si>
  <si>
    <t>Virtuális szerver (IaaS)</t>
  </si>
  <si>
    <t>Adattárolás és mentés (felhő storage)</t>
  </si>
  <si>
    <t>Bevezetés, testre szabás</t>
  </si>
  <si>
    <t>MI szolgáltatás</t>
  </si>
  <si>
    <t>15.</t>
  </si>
  <si>
    <t>Vállalati erőforrás-tervezési (ERP) megoldás használata</t>
  </si>
  <si>
    <t>ERP szoftverlicenc / előfizetés (SaaS modell)</t>
  </si>
  <si>
    <t>Bevezetés, testre szabás, felhasználói oktatás szolgáltatás</t>
  </si>
  <si>
    <t>16.</t>
  </si>
  <si>
    <t>Ügyfélkapcsolat-kezelési (CRM) megoldás használata</t>
  </si>
  <si>
    <t>CRM szoftverlicenc / előfizetés</t>
  </si>
  <si>
    <t>Bevezetés és testre szabás</t>
  </si>
  <si>
    <t>21.</t>
  </si>
  <si>
    <t>Automatizált feldolgozásra alkalmas e-számlák küldése</t>
  </si>
  <si>
    <t>Online számlázó szoftver előfizetés</t>
  </si>
  <si>
    <t>22.</t>
  </si>
  <si>
    <t>Bérelhető webshop rendszer</t>
  </si>
  <si>
    <t>Domain és tárhely</t>
  </si>
  <si>
    <t>Internet</t>
  </si>
  <si>
    <t>Internet hozzáférés</t>
  </si>
  <si>
    <t>Mértékegység</t>
  </si>
  <si>
    <t>Tervezett projekt időtartam, hónapban kifejezve:</t>
  </si>
  <si>
    <t>A pályamű benyújtásakor meglévő digitális intenzitási szint:</t>
  </si>
  <si>
    <t>Kapható támogatás
(nettó FT)</t>
  </si>
  <si>
    <t>Ha nem, a pályázó vállalja a DFK minősítés megszerzését?</t>
  </si>
  <si>
    <t>Figyelembe vétel</t>
  </si>
  <si>
    <t>Pályázatból szerzi be</t>
  </si>
  <si>
    <t>Nem releváns</t>
  </si>
  <si>
    <t>A pályázó rendelkezik DII felméréssel?</t>
  </si>
  <si>
    <t>nem releváns</t>
  </si>
  <si>
    <t>Releváns</t>
  </si>
  <si>
    <t>Webes értékesítés (forgalom több mint 1%-a; webes értékesítés több mint 10%-a egyéni ügyfeleknek történő értékesítésből származik)</t>
  </si>
  <si>
    <t>Kapható támogatás
(bruttó FT)</t>
  </si>
  <si>
    <t>Alátámasztó dokumentum</t>
  </si>
  <si>
    <t>Egységköltséghez kapcsolódó validálási elvárás</t>
  </si>
  <si>
    <t>Fejlesztési célok összetevői / műszaki követelmény</t>
  </si>
  <si>
    <t>IKT-alapképzés</t>
  </si>
  <si>
    <t>Haladó digitális készségfejlesztés</t>
  </si>
  <si>
    <t>IKT-biztonsági képzés</t>
  </si>
  <si>
    <r>
      <t xml:space="preserve">A </t>
    </r>
    <r>
      <rPr>
        <b/>
        <sz val="11"/>
        <color theme="1"/>
        <rFont val="Aptos Narrow"/>
        <family val="2"/>
        <scheme val="minor"/>
      </rPr>
      <t>SaaS irodai csomag</t>
    </r>
    <r>
      <rPr>
        <sz val="11"/>
        <color theme="1"/>
        <rFont val="Aptos Narrow"/>
        <family val="2"/>
        <charset val="238"/>
        <scheme val="minor"/>
      </rPr>
      <t xml:space="preserve"> esetében validálni szükséges az elszámolni kívánt felhasználói darabszámot és a hónapok meglétét.</t>
    </r>
  </si>
  <si>
    <r>
      <t xml:space="preserve">A </t>
    </r>
    <r>
      <rPr>
        <b/>
        <sz val="11"/>
        <color theme="1"/>
        <rFont val="Aptos Narrow"/>
        <family val="2"/>
        <scheme val="minor"/>
      </rPr>
      <t>Domain regisztráció</t>
    </r>
    <r>
      <rPr>
        <sz val="11"/>
        <color theme="1"/>
        <rFont val="Aptos Narrow"/>
        <family val="2"/>
        <charset val="238"/>
        <scheme val="minor"/>
      </rPr>
      <t xml:space="preserve"> esetében validálni szükséges az elszámolni kívánt hónapok meglétét.</t>
    </r>
  </si>
  <si>
    <r>
      <t xml:space="preserve">A </t>
    </r>
    <r>
      <rPr>
        <b/>
        <sz val="11"/>
        <color theme="1"/>
        <rFont val="Aptos Narrow"/>
        <family val="2"/>
        <scheme val="minor"/>
      </rPr>
      <t>Havidíjas IT üzemeltetés</t>
    </r>
    <r>
      <rPr>
        <sz val="11"/>
        <color theme="1"/>
        <rFont val="Aptos Narrow"/>
        <family val="2"/>
        <charset val="238"/>
        <scheme val="minor"/>
      </rPr>
      <t xml:space="preserve"> esetében validálni szükséges az elszámolni kívánt hónapok meglétét.</t>
    </r>
  </si>
  <si>
    <r>
      <t xml:space="preserve">A </t>
    </r>
    <r>
      <rPr>
        <b/>
        <sz val="11"/>
        <color theme="1"/>
        <rFont val="Aptos Narrow"/>
        <family val="2"/>
        <scheme val="minor"/>
      </rPr>
      <t>Videókonferencia platform</t>
    </r>
    <r>
      <rPr>
        <sz val="11"/>
        <color theme="1"/>
        <rFont val="Aptos Narrow"/>
        <family val="2"/>
        <charset val="238"/>
        <scheme val="minor"/>
      </rPr>
      <t xml:space="preserve"> esetében validálni szükséges az elszámolni kívánt (teljesült) felhasználói darabszámot és a hónapok meglétét.</t>
    </r>
  </si>
  <si>
    <t>Képzési tematika, segédanyagok, jelenléti ív vagy képernyőkép vagy videofelvétel a szereplők, időpont, képzés tárgyának egyértelmű azonosíthatóságával</t>
  </si>
  <si>
    <r>
      <t xml:space="preserve">A </t>
    </r>
    <r>
      <rPr>
        <b/>
        <sz val="11"/>
        <color theme="1"/>
        <rFont val="Aptos Narrow"/>
        <family val="2"/>
        <scheme val="minor"/>
      </rPr>
      <t>képzések</t>
    </r>
    <r>
      <rPr>
        <sz val="11"/>
        <color theme="1"/>
        <rFont val="Aptos Narrow"/>
        <family val="2"/>
        <charset val="238"/>
        <scheme val="minor"/>
      </rPr>
      <t xml:space="preserve"> esetében validálni szükséges az elszámolni kívánt képzést elvégzők számát.</t>
    </r>
  </si>
  <si>
    <r>
      <t>Az</t>
    </r>
    <r>
      <rPr>
        <b/>
        <sz val="11"/>
        <color theme="1"/>
        <rFont val="Aptos Narrow"/>
        <family val="2"/>
        <scheme val="minor"/>
      </rPr>
      <t xml:space="preserve"> IKT-biztonsági képzés</t>
    </r>
    <r>
      <rPr>
        <sz val="11"/>
        <color theme="1"/>
        <rFont val="Aptos Narrow"/>
        <family val="2"/>
        <charset val="238"/>
        <scheme val="minor"/>
      </rPr>
      <t xml:space="preserve"> esetében  validálni szükséges az elszámolni kívánt képzést elvégzők számát.</t>
    </r>
  </si>
  <si>
    <r>
      <t xml:space="preserve">A </t>
    </r>
    <r>
      <rPr>
        <b/>
        <sz val="11"/>
        <color theme="1"/>
        <rFont val="Aptos Narrow"/>
        <family val="2"/>
        <scheme val="minor"/>
      </rPr>
      <t>Végpontvédelmi licenc</t>
    </r>
    <r>
      <rPr>
        <sz val="11"/>
        <color theme="1"/>
        <rFont val="Aptos Narrow"/>
        <family val="2"/>
        <charset val="238"/>
        <scheme val="minor"/>
      </rPr>
      <t xml:space="preserve">, valamint a </t>
    </r>
    <r>
      <rPr>
        <b/>
        <sz val="11"/>
        <color theme="1"/>
        <rFont val="Aptos Narrow"/>
        <family val="2"/>
        <scheme val="minor"/>
      </rPr>
      <t>Biztonsági mentés</t>
    </r>
    <r>
      <rPr>
        <sz val="11"/>
        <color theme="1"/>
        <rFont val="Aptos Narrow"/>
        <family val="2"/>
        <charset val="238"/>
        <scheme val="minor"/>
      </rPr>
      <t xml:space="preserve"> esetében validálni szükséges az elszámolni kívánt hónapok és eszközök számát. </t>
    </r>
  </si>
  <si>
    <r>
      <t>A</t>
    </r>
    <r>
      <rPr>
        <b/>
        <sz val="11"/>
        <color theme="1"/>
        <rFont val="Aptos Narrow"/>
        <family val="2"/>
        <scheme val="minor"/>
      </rPr>
      <t xml:space="preserve"> GDPR alapfelmérés és nyilvántartás</t>
    </r>
    <r>
      <rPr>
        <sz val="11"/>
        <color theme="1"/>
        <rFont val="Aptos Narrow"/>
        <family val="2"/>
        <charset val="238"/>
        <scheme val="minor"/>
      </rPr>
      <t xml:space="preserve"> és az
</t>
    </r>
    <r>
      <rPr>
        <b/>
        <sz val="11"/>
        <color theme="1"/>
        <rFont val="Aptos Narrow"/>
        <family val="2"/>
        <scheme val="minor"/>
      </rPr>
      <t>IBSZ kidolgozása</t>
    </r>
    <r>
      <rPr>
        <sz val="11"/>
        <color theme="1"/>
        <rFont val="Aptos Narrow"/>
        <family val="2"/>
        <charset val="238"/>
        <scheme val="minor"/>
      </rPr>
      <t xml:space="preserve"> és </t>
    </r>
    <r>
      <rPr>
        <b/>
        <sz val="11"/>
        <color theme="1"/>
        <rFont val="Aptos Narrow"/>
        <family val="2"/>
        <scheme val="minor"/>
      </rPr>
      <t>információbiztonsági felelős szolgáltatás</t>
    </r>
    <r>
      <rPr>
        <sz val="11"/>
        <color theme="1"/>
        <rFont val="Aptos Narrow"/>
        <family val="2"/>
        <charset val="238"/>
        <scheme val="minor"/>
      </rPr>
      <t xml:space="preserve"> esetében validálni szükséges a szolgáltatások megvalósulását, 
az </t>
    </r>
    <r>
      <rPr>
        <b/>
        <sz val="11"/>
        <color theme="1"/>
        <rFont val="Aptos Narrow"/>
        <family val="2"/>
        <scheme val="minor"/>
      </rPr>
      <t>incidenskezelési terv és oktatás</t>
    </r>
    <r>
      <rPr>
        <sz val="11"/>
        <color theme="1"/>
        <rFont val="Aptos Narrow"/>
        <family val="2"/>
        <charset val="238"/>
        <scheme val="minor"/>
      </rPr>
      <t xml:space="preserve"> esetében a képzettek számát, 
a </t>
    </r>
    <r>
      <rPr>
        <b/>
        <sz val="11"/>
        <color theme="1"/>
        <rFont val="Aptos Narrow"/>
        <family val="2"/>
        <scheme val="minor"/>
      </rPr>
      <t>Digitális aláírás</t>
    </r>
    <r>
      <rPr>
        <sz val="11"/>
        <color theme="1"/>
        <rFont val="Aptos Narrow"/>
        <family val="2"/>
        <charset val="238"/>
        <scheme val="minor"/>
      </rPr>
      <t xml:space="preserve"> szolgáltatás esetében pedig a hónapok és a felhasználók számát.</t>
    </r>
  </si>
  <si>
    <r>
      <t>Az</t>
    </r>
    <r>
      <rPr>
        <b/>
        <sz val="11"/>
        <color theme="1"/>
        <rFont val="Aptos Narrow"/>
        <family val="2"/>
        <scheme val="minor"/>
      </rPr>
      <t xml:space="preserve"> IKT szakember igénybevétele</t>
    </r>
    <r>
      <rPr>
        <sz val="11"/>
        <color theme="1"/>
        <rFont val="Aptos Narrow"/>
        <family val="2"/>
        <charset val="238"/>
        <scheme val="minor"/>
      </rPr>
      <t xml:space="preserve"> esetében validálni szükséges az elszámolni kívánt (teljesült) órák számát.</t>
    </r>
  </si>
  <si>
    <t>Átalányköltség keretében van lehetőség elszámolni (projektköltség 7%-a)</t>
  </si>
  <si>
    <r>
      <t>A Saját weboldal működése, mely a digitális szintemelkedés teljesülésének vizsgálata során validálásra kerül egyértelművé teszi a weboldal kialakítását, ezért a</t>
    </r>
    <r>
      <rPr>
        <b/>
        <sz val="11"/>
        <color theme="1"/>
        <rFont val="Aptos Narrow"/>
        <family val="2"/>
        <scheme val="minor"/>
      </rPr>
      <t xml:space="preserve"> Saját weboldal kialakítása</t>
    </r>
    <r>
      <rPr>
        <sz val="11"/>
        <color theme="1"/>
        <rFont val="Aptos Narrow"/>
        <family val="2"/>
        <charset val="238"/>
        <scheme val="minor"/>
      </rPr>
      <t xml:space="preserve"> esetében külön validáció nem szükséges.</t>
    </r>
  </si>
  <si>
    <t>A Tartalomgyártás esetében validálni szükséges az elszámolni kívánt (teljesült) hónapok számát</t>
  </si>
  <si>
    <r>
      <t xml:space="preserve">A </t>
    </r>
    <r>
      <rPr>
        <b/>
        <sz val="11"/>
        <color theme="1"/>
        <rFont val="Aptos Narrow"/>
        <family val="2"/>
        <scheme val="minor"/>
      </rPr>
      <t>Virtuális szerver (IaaS), Adattárolás és mentés felhőben</t>
    </r>
    <r>
      <rPr>
        <sz val="11"/>
        <color theme="1"/>
        <rFont val="Aptos Narrow"/>
        <family val="2"/>
        <charset val="238"/>
        <scheme val="minor"/>
      </rPr>
      <t xml:space="preserve"> esetében validálni  szükséges az elszámolni kívánt (teljesült) hónapok számát</t>
    </r>
  </si>
  <si>
    <t>Számítógép</t>
  </si>
  <si>
    <t>db</t>
  </si>
  <si>
    <t>Monitor</t>
  </si>
  <si>
    <t>QHD_2560*1440, 27"</t>
  </si>
  <si>
    <t xml:space="preserve">Laptop </t>
  </si>
  <si>
    <t>Hálózati adattároló - NAS</t>
  </si>
  <si>
    <t>Router</t>
  </si>
  <si>
    <t>Mobiltelefon</t>
  </si>
  <si>
    <t>Tablet</t>
  </si>
  <si>
    <t>Multifunkciós nyomtató</t>
  </si>
  <si>
    <r>
      <t xml:space="preserve">Az </t>
    </r>
    <r>
      <rPr>
        <b/>
        <sz val="11"/>
        <color theme="1"/>
        <rFont val="Aptos Narrow"/>
        <family val="2"/>
        <scheme val="minor"/>
      </rPr>
      <t>Online jelenlét és hirdetések</t>
    </r>
    <r>
      <rPr>
        <sz val="11"/>
        <color theme="1"/>
        <rFont val="Aptos Narrow"/>
        <family val="2"/>
        <charset val="238"/>
        <scheme val="minor"/>
      </rPr>
      <t xml:space="preserve"> kezelése esetében validálni szükséges az elszámolni kívánt (teljesült) hónapok számát.</t>
    </r>
  </si>
  <si>
    <r>
      <t xml:space="preserve">A </t>
    </r>
    <r>
      <rPr>
        <b/>
        <sz val="11"/>
        <color theme="1"/>
        <rFont val="Aptos Narrow"/>
        <family val="2"/>
        <scheme val="minor"/>
      </rPr>
      <t>Képzés</t>
    </r>
    <r>
      <rPr>
        <sz val="11"/>
        <color theme="1"/>
        <rFont val="Aptos Narrow"/>
        <family val="2"/>
        <charset val="238"/>
        <scheme val="minor"/>
      </rPr>
      <t xml:space="preserve"> esetében validálni szükséges a képzettek számát.</t>
    </r>
  </si>
  <si>
    <r>
      <t xml:space="preserve">A Virtuális szerver (IaaS), Adattárolás és mentés felhőben működése egyértelművé teszi a </t>
    </r>
    <r>
      <rPr>
        <b/>
        <sz val="11"/>
        <color theme="1"/>
        <rFont val="Aptos Narrow"/>
        <family val="2"/>
        <scheme val="minor"/>
      </rPr>
      <t>Bevezetés, testreszabás</t>
    </r>
    <r>
      <rPr>
        <sz val="11"/>
        <color theme="1"/>
        <rFont val="Aptos Narrow"/>
        <family val="2"/>
        <charset val="238"/>
        <scheme val="minor"/>
      </rPr>
      <t xml:space="preserve"> megtörténtét ezért utóbbit külön validálni nem szükséges.</t>
    </r>
  </si>
  <si>
    <r>
      <rPr>
        <b/>
        <sz val="11"/>
        <color theme="1"/>
        <rFont val="Aptos Narrow"/>
        <family val="2"/>
        <scheme val="minor"/>
      </rPr>
      <t>MI szolgáltatás</t>
    </r>
    <r>
      <rPr>
        <sz val="11"/>
        <color theme="1"/>
        <rFont val="Aptos Narrow"/>
        <family val="2"/>
        <charset val="238"/>
        <scheme val="minor"/>
      </rPr>
      <t xml:space="preserve"> esetében validálni szükséges az elszámolni kívánt (teljesült) hónapok, valamint a felhasználók számát.</t>
    </r>
  </si>
  <si>
    <r>
      <t xml:space="preserve">Az </t>
    </r>
    <r>
      <rPr>
        <b/>
        <sz val="11"/>
        <color theme="1"/>
        <rFont val="Aptos Narrow"/>
        <family val="2"/>
        <scheme val="minor"/>
      </rPr>
      <t>ERP szoftverlicenc / előfizetés</t>
    </r>
    <r>
      <rPr>
        <sz val="11"/>
        <color theme="1"/>
        <rFont val="Aptos Narrow"/>
        <family val="2"/>
        <charset val="238"/>
        <scheme val="minor"/>
      </rPr>
      <t xml:space="preserve"> esetében validálni szükséges az elszámolni kívánt (teljesült) felhasználó számot és a hónap meglétét, a </t>
    </r>
    <r>
      <rPr>
        <b/>
        <sz val="11"/>
        <color theme="1"/>
        <rFont val="Aptos Narrow"/>
        <family val="2"/>
        <scheme val="minor"/>
      </rPr>
      <t>Bevezetés, testreszabás, felhasználói oktatás szolgáltatás</t>
    </r>
    <r>
      <rPr>
        <sz val="11"/>
        <color theme="1"/>
        <rFont val="Aptos Narrow"/>
        <family val="2"/>
        <charset val="238"/>
        <scheme val="minor"/>
      </rPr>
      <t xml:space="preserve"> esetén pedig az ERP rendszer
működését (ami a digitális intenzitási szint emelkedésének validálása során megtörténik).</t>
    </r>
  </si>
  <si>
    <r>
      <t xml:space="preserve">A </t>
    </r>
    <r>
      <rPr>
        <b/>
        <sz val="11"/>
        <color theme="1"/>
        <rFont val="Aptos Narrow"/>
        <family val="2"/>
        <scheme val="minor"/>
      </rPr>
      <t>CRM szoftverlicenc / előfizetés</t>
    </r>
    <r>
      <rPr>
        <sz val="11"/>
        <color theme="1"/>
        <rFont val="Aptos Narrow"/>
        <family val="2"/>
        <charset val="238"/>
        <scheme val="minor"/>
      </rPr>
      <t xml:space="preserve"> esetében validálni szükséges az elszámolni kívánt (teljesült) felhasználó számot és a hónap meglétét, a </t>
    </r>
    <r>
      <rPr>
        <b/>
        <sz val="11"/>
        <color theme="1"/>
        <rFont val="Aptos Narrow"/>
        <family val="2"/>
        <scheme val="minor"/>
      </rPr>
      <t>Bevezetés és testreszabás</t>
    </r>
    <r>
      <rPr>
        <sz val="11"/>
        <color theme="1"/>
        <rFont val="Aptos Narrow"/>
        <family val="2"/>
        <charset val="238"/>
        <scheme val="minor"/>
      </rPr>
      <t xml:space="preserve"> esetén pedig a CRM rendszer működését (ami a digitális intenzitási szint emelkedésének validálása során megtörténik).</t>
    </r>
  </si>
  <si>
    <r>
      <t xml:space="preserve">Az </t>
    </r>
    <r>
      <rPr>
        <b/>
        <sz val="11"/>
        <color theme="1"/>
        <rFont val="Aptos Narrow"/>
        <family val="2"/>
        <scheme val="minor"/>
      </rPr>
      <t>Online számlázó szotver előfizetés</t>
    </r>
    <r>
      <rPr>
        <sz val="11"/>
        <color theme="1"/>
        <rFont val="Aptos Narrow"/>
        <family val="2"/>
        <charset val="238"/>
        <scheme val="minor"/>
      </rPr>
      <t xml:space="preserve"> esetében a felhívásban szereplő szervezetnek validálnia szükséges az elszámolni kívánt (teljesült) hónapok
meglétét.</t>
    </r>
  </si>
  <si>
    <r>
      <t xml:space="preserve">A </t>
    </r>
    <r>
      <rPr>
        <b/>
        <sz val="11"/>
        <color theme="1"/>
        <rFont val="Aptos Narrow"/>
        <family val="2"/>
        <scheme val="minor"/>
      </rPr>
      <t>Bérelhető webshop rendszer</t>
    </r>
    <r>
      <rPr>
        <sz val="11"/>
        <color theme="1"/>
        <rFont val="Aptos Narrow"/>
        <family val="2"/>
        <charset val="238"/>
        <scheme val="minor"/>
      </rPr>
      <t xml:space="preserve"> esetében validálni szükséges az elszámolni kívánt hónapok számát.</t>
    </r>
  </si>
  <si>
    <r>
      <t xml:space="preserve">A </t>
    </r>
    <r>
      <rPr>
        <b/>
        <sz val="11"/>
        <color theme="1"/>
        <rFont val="Aptos Narrow"/>
        <family val="2"/>
        <scheme val="minor"/>
      </rPr>
      <t>Domain</t>
    </r>
    <r>
      <rPr>
        <sz val="11"/>
        <color theme="1"/>
        <rFont val="Aptos Narrow"/>
        <family val="2"/>
        <charset val="238"/>
        <scheme val="minor"/>
      </rPr>
      <t xml:space="preserve"> regisztráció esetében validálni szükséges az elszámolni kívánt hónapok számát.</t>
    </r>
  </si>
  <si>
    <t>Eszköztípus</t>
  </si>
  <si>
    <t>Minimális műszaki
jellemzők</t>
  </si>
  <si>
    <t>Egységköltség
NETTÓ elszámoló, (Ft)</t>
  </si>
  <si>
    <t>Egységköltség
BRUTTÓ elszámoló (Ft)</t>
  </si>
  <si>
    <t>Mennyiség</t>
  </si>
  <si>
    <t>Fejlesztési cél</t>
  </si>
  <si>
    <t>A fejlesztési cél összetevői</t>
  </si>
  <si>
    <t>Egységköltség bruttó (Ft)</t>
  </si>
  <si>
    <t>Egységköltség nettó (Ft)</t>
  </si>
  <si>
    <t>Szállítható</t>
  </si>
  <si>
    <t>Igen</t>
  </si>
  <si>
    <t>A Gipsz Jakab Kft. Az Ön számára az alábbi, zöld színnel megjelölt pályázati célokat tudja szállítani
Kontakt: Gipsz Jakab, email: gipsz.jakab@gipszjakabkft.hu; mobil: +36 20 123 4567</t>
  </si>
  <si>
    <t>Amennyiben olyan fejlesztési célt szeretne megvalósítani, amelyik nincs zöld színnel megjelölve, 
kérjük keressen a fenti elérhetőségeinken, szívesen segítünk a megoldásban!</t>
  </si>
  <si>
    <t>Részletezés</t>
  </si>
  <si>
    <t>M365 Vállalati alapverzió (Business Basic)</t>
  </si>
  <si>
    <t>Fejlesztési cél összetevői</t>
  </si>
  <si>
    <t>Heimdall, Symantec, ESET</t>
  </si>
  <si>
    <t>Cisco WEBEX, MS Teams</t>
  </si>
  <si>
    <t>Választható technológia</t>
  </si>
  <si>
    <t>-</t>
  </si>
  <si>
    <t>Alátámasztó dokumentumok</t>
  </si>
  <si>
    <t>Egyéb leírások:</t>
  </si>
  <si>
    <r>
      <t xml:space="preserve">A Gipsz Jakab Kft. Az Ön számára az alábbi   </t>
    </r>
    <r>
      <rPr>
        <sz val="14"/>
        <color theme="1"/>
        <rFont val="Aptos Narrow"/>
        <family val="2"/>
        <scheme val="minor"/>
      </rPr>
      <t xml:space="preserve"> </t>
    </r>
    <r>
      <rPr>
        <b/>
        <sz val="14"/>
        <color theme="1"/>
        <rFont val="Aptos Narrow"/>
        <family val="2"/>
        <scheme val="minor"/>
      </rPr>
      <t>3 db</t>
    </r>
    <r>
      <rPr>
        <sz val="11"/>
        <color theme="1"/>
        <rFont val="Aptos Narrow"/>
        <family val="2"/>
        <scheme val="minor"/>
      </rPr>
      <t xml:space="preserve">,   </t>
    </r>
    <r>
      <rPr>
        <b/>
        <sz val="11"/>
        <color theme="1"/>
        <rFont val="Aptos Narrow"/>
        <family val="2"/>
        <scheme val="minor"/>
      </rPr>
      <t>zöld színnel megjelölt</t>
    </r>
    <r>
      <rPr>
        <sz val="11"/>
        <color theme="1"/>
        <rFont val="Aptos Narrow"/>
        <family val="2"/>
        <scheme val="minor"/>
      </rPr>
      <t xml:space="preserve"> pályázati </t>
    </r>
    <r>
      <rPr>
        <b/>
        <sz val="11"/>
        <color theme="1"/>
        <rFont val="Aptos Narrow"/>
        <family val="2"/>
        <scheme val="minor"/>
      </rPr>
      <t>fejlesztési célt</t>
    </r>
    <r>
      <rPr>
        <sz val="11"/>
        <color theme="1"/>
        <rFont val="Aptos Narrow"/>
        <family val="2"/>
        <scheme val="minor"/>
      </rPr>
      <t xml:space="preserve">  (</t>
    </r>
    <r>
      <rPr>
        <b/>
        <sz val="11"/>
        <color theme="1"/>
        <rFont val="Aptos Narrow"/>
        <family val="2"/>
        <scheme val="minor"/>
      </rPr>
      <t>+ hardver csomagot</t>
    </r>
    <r>
      <rPr>
        <sz val="11"/>
        <color theme="1"/>
        <rFont val="Aptos Narrow"/>
        <family val="2"/>
        <scheme val="minor"/>
      </rPr>
      <t xml:space="preserve">)  tudja szállítani:
</t>
    </r>
    <r>
      <rPr>
        <b/>
        <sz val="12"/>
        <color theme="1"/>
        <rFont val="Aptos Narrow"/>
        <family val="2"/>
        <scheme val="minor"/>
      </rPr>
      <t>Kontakt</t>
    </r>
    <r>
      <rPr>
        <sz val="11"/>
        <color theme="1"/>
        <rFont val="Aptos Narrow"/>
        <family val="2"/>
        <scheme val="minor"/>
      </rPr>
      <t xml:space="preserve">: Gipsz Jakab,   </t>
    </r>
    <r>
      <rPr>
        <b/>
        <sz val="12"/>
        <color theme="1"/>
        <rFont val="Aptos Narrow"/>
        <family val="2"/>
        <scheme val="minor"/>
      </rPr>
      <t>email</t>
    </r>
    <r>
      <rPr>
        <sz val="11"/>
        <color theme="1"/>
        <rFont val="Aptos Narrow"/>
        <family val="2"/>
        <scheme val="minor"/>
      </rPr>
      <t xml:space="preserve">: gipsz.jakab@gipszjakabkft.hu;   </t>
    </r>
    <r>
      <rPr>
        <b/>
        <sz val="12"/>
        <color theme="1"/>
        <rFont val="Aptos Narrow"/>
        <family val="2"/>
        <scheme val="minor"/>
      </rPr>
      <t>mobil</t>
    </r>
    <r>
      <rPr>
        <sz val="11"/>
        <color theme="1"/>
        <rFont val="Aptos Narrow"/>
        <family val="2"/>
        <scheme val="minor"/>
      </rPr>
      <t xml:space="preserve">: +36 20 123 4567,   </t>
    </r>
    <r>
      <rPr>
        <b/>
        <sz val="12"/>
        <color theme="1"/>
        <rFont val="Aptos Narrow"/>
        <family val="2"/>
        <scheme val="minor"/>
      </rPr>
      <t>web</t>
    </r>
    <r>
      <rPr>
        <sz val="11"/>
        <color theme="1"/>
        <rFont val="Aptos Narrow"/>
        <family val="2"/>
        <scheme val="minor"/>
      </rPr>
      <t>: gipszjakabkft.hu</t>
    </r>
  </si>
  <si>
    <t>Összetevők teljesítésére 
vonatkozó előírások</t>
  </si>
  <si>
    <t>E</t>
  </si>
  <si>
    <t xml:space="preserve">A fejlesztési célon belül MINDEN összetevő teljesítése 
KÖTELEZŐ. 
</t>
  </si>
  <si>
    <t xml:space="preserve">A fejlesztési célon belül legalább 
EGY összetevő teljesítése 
KÖTELEZŐ. 
A másik összetevő teljesítése 
VÁLASZTHATÓ. </t>
  </si>
  <si>
    <t xml:space="preserve">A fejlesztési célon belül az 
összetevő teljesítése 
KÖTELEZŐ. </t>
  </si>
  <si>
    <t>A fejlesztési célon belül az összetevő teljesítése KÖTELEZŐ.</t>
  </si>
  <si>
    <t>A fejlesztési célon belül 
BÁRMELYIK és BÁRMENNYI 
összetevő teljesítése 
VÁLASZTHATÓ.</t>
  </si>
  <si>
    <t>A fejlesztési célon belül az 
összetevő teljesítése 
KÖTELEZŐ.</t>
  </si>
  <si>
    <r>
      <t xml:space="preserve">Távoli hozzáférés a következők </t>
    </r>
    <r>
      <rPr>
        <b/>
        <sz val="10"/>
        <color rgb="FF000000"/>
        <rFont val="Arial"/>
        <family val="2"/>
        <charset val="238"/>
      </rPr>
      <t>valamelyikéhez</t>
    </r>
    <r>
      <rPr>
        <sz val="10"/>
        <color rgb="FF000000"/>
        <rFont val="Arial"/>
        <family val="2"/>
        <charset val="238"/>
      </rPr>
      <t>: e-mail, dokumentumok, üzleti alkalmazás</t>
    </r>
  </si>
  <si>
    <r>
      <t xml:space="preserve">A fenntartási időszakra eső költség </t>
    </r>
    <r>
      <rPr>
        <sz val="10"/>
        <color rgb="FF000000"/>
        <rFont val="Arial"/>
        <family val="2"/>
        <charset val="238"/>
      </rPr>
      <t>(összes felhasználóra, havonta)</t>
    </r>
  </si>
  <si>
    <r>
      <t xml:space="preserve">A fenntartási időszakra eső költség 
</t>
    </r>
    <r>
      <rPr>
        <sz val="10"/>
        <color rgb="FF000000"/>
        <rFont val="Arial"/>
        <family val="2"/>
        <charset val="238"/>
      </rPr>
      <t>(36 hónapra, összes felhasználóra)</t>
    </r>
  </si>
  <si>
    <r>
      <t xml:space="preserve">A fenntartási időszakra eső költség 
</t>
    </r>
    <r>
      <rPr>
        <sz val="10"/>
        <color rgb="FF000000"/>
        <rFont val="Arial"/>
        <family val="2"/>
        <charset val="238"/>
      </rPr>
      <t>(1 főre)</t>
    </r>
  </si>
  <si>
    <r>
      <t xml:space="preserve">A fenntartási időszakra eső költség </t>
    </r>
    <r>
      <rPr>
        <sz val="10"/>
        <color rgb="FF000000"/>
        <rFont val="Arial"/>
        <family val="2"/>
        <charset val="238"/>
      </rPr>
      <t>(összes felhasználóra, 1 évre)</t>
    </r>
  </si>
  <si>
    <t>Összköltség
NETTÓ (Ft)</t>
  </si>
  <si>
    <t>Eszköznyilvántartási lap és alátámasztó dokumentumok  
- Üzembe helyezési okmány (pl. jegyzőkönyv), vagy 
- Üzembe helyezési okmány hiányában szállítólevél vagy átadás-átvételi jegyzőkönyv vagy állományba vételi bizonylat, vagy 
- Webáruházból történő vásárlás esetén üzembe helyezési jegyzőkönyv vagy állományba vételi bizonylat)</t>
  </si>
  <si>
    <t>2 fiókos, 
2*4TB HDD</t>
  </si>
  <si>
    <t>Vezetékes, 
1 x WAN 2,5 Gibabit, 
5 x LAN 1 Gigabit</t>
  </si>
  <si>
    <t>5G, 
12 GB RAM, 
256 GB tárhely</t>
  </si>
  <si>
    <t>8 GB RAM, 128 GB háttértár, 
legalább 11" kijelző, Bluetooth, GPS, 
kamera, 4G LTE/5G</t>
  </si>
  <si>
    <t>Egységköltség NETTÓ elszámoló 
(Ft)</t>
  </si>
  <si>
    <t>Egységköltség BRUTTÓ elszámoló
(Ft)</t>
  </si>
  <si>
    <t>Alkalmazotti felhasználó szám</t>
  </si>
  <si>
    <t>Ha igen, mikor szerezte meg?</t>
  </si>
  <si>
    <t>Szoftver beszerzések, összesen:</t>
  </si>
  <si>
    <t>Hardver beszerzések, összesen:</t>
  </si>
  <si>
    <t>Szolgáltatások, összesen:</t>
  </si>
  <si>
    <t>Egyéb költségek, összesen:</t>
  </si>
  <si>
    <t>Arány:</t>
  </si>
  <si>
    <t>Összesen, nettó</t>
  </si>
  <si>
    <t>Összesen, bruttó</t>
  </si>
  <si>
    <t>SZOLGÁLTATÁS</t>
  </si>
  <si>
    <t>SZOFTVER</t>
  </si>
  <si>
    <t>KÉPZÉS</t>
  </si>
  <si>
    <t>Képzés összesen:</t>
  </si>
  <si>
    <t>Példa</t>
  </si>
  <si>
    <t>M365 BB, OwnCloud, NextCloud, Onedrive, Sharepoint</t>
  </si>
  <si>
    <t>Norton, ESET, Heimdal</t>
  </si>
  <si>
    <t>Microsec, Netlock</t>
  </si>
  <si>
    <t>WP</t>
  </si>
  <si>
    <t>fb, TikTok, Instagram</t>
  </si>
  <si>
    <t>You, ChatGPT, Claude</t>
  </si>
  <si>
    <t>Unas</t>
  </si>
  <si>
    <t>Számlázz.hu, Billingó</t>
  </si>
  <si>
    <t>Felnőttképzési akkreditáció szükséges!</t>
  </si>
  <si>
    <t>Synology, OneDrive</t>
  </si>
  <si>
    <t>Teams, Webex</t>
  </si>
  <si>
    <t>sw</t>
  </si>
  <si>
    <t>szolg</t>
  </si>
  <si>
    <t>okt</t>
  </si>
  <si>
    <t>Kate-gória</t>
  </si>
  <si>
    <t>A tervezett beszerzések, projektméret, nettóban:</t>
  </si>
  <si>
    <t>Összesen</t>
  </si>
  <si>
    <t>Havidíjas szolgáltatás</t>
  </si>
  <si>
    <t>Ebből 10% önerő mértéke, összesen:</t>
  </si>
  <si>
    <t>Projektköltség mindösszesen:</t>
  </si>
  <si>
    <t>Támogatás, összesen:</t>
  </si>
  <si>
    <t>Hardver</t>
  </si>
  <si>
    <t>Szoftver</t>
  </si>
  <si>
    <t>Szolgáltatás</t>
  </si>
  <si>
    <t>Eredmény</t>
  </si>
  <si>
    <t>I</t>
  </si>
  <si>
    <t>x</t>
  </si>
  <si>
    <t>NEM</t>
  </si>
  <si>
    <t>IGEN</t>
  </si>
  <si>
    <r>
      <t xml:space="preserve">Ilyenkor lehet olyat, hogy a hardvert az </t>
    </r>
    <r>
      <rPr>
        <b/>
        <sz val="11"/>
        <color theme="1"/>
        <rFont val="Aptos Narrow"/>
        <family val="2"/>
        <scheme val="minor"/>
      </rPr>
      <t>A</t>
    </r>
    <r>
      <rPr>
        <sz val="11"/>
        <color theme="1"/>
        <rFont val="Aptos Narrow"/>
        <family val="2"/>
        <charset val="238"/>
        <scheme val="minor"/>
      </rPr>
      <t xml:space="preserve"> szállítótól, minden mást a </t>
    </r>
    <r>
      <rPr>
        <b/>
        <sz val="11"/>
        <color theme="1"/>
        <rFont val="Aptos Narrow"/>
        <family val="2"/>
        <scheme val="minor"/>
      </rPr>
      <t>B</t>
    </r>
    <r>
      <rPr>
        <sz val="11"/>
        <color theme="1"/>
        <rFont val="Aptos Narrow"/>
        <family val="2"/>
        <charset val="238"/>
        <scheme val="minor"/>
      </rPr>
      <t xml:space="preserve"> szállítótól vegyen?</t>
    </r>
  </si>
  <si>
    <t>Szállítói tájékoztatás</t>
  </si>
  <si>
    <t>Webinár, szállítói nyílt nap</t>
  </si>
  <si>
    <t>Ügyfélszolgálati doksik, segédletek</t>
  </si>
  <si>
    <t>Új szállítói (főleg hw) regisztrációk, elbírálási határidők, popup</t>
  </si>
  <si>
    <t>HW + SW szállítás kötelezettség - hol kommunikáljuk előzetesen? Felhívásban  (vagy mellékletében / weboldalunkon / SZTR / előzetes emailben?)</t>
  </si>
  <si>
    <r>
      <rPr>
        <b/>
        <sz val="11"/>
        <color theme="1"/>
        <rFont val="Aptos Narrow"/>
        <family val="2"/>
        <scheme val="minor"/>
      </rPr>
      <t>Milyen változások vannak?</t>
    </r>
    <r>
      <rPr>
        <sz val="11"/>
        <color theme="1"/>
        <rFont val="Aptos Narrow"/>
        <family val="2"/>
        <charset val="238"/>
        <scheme val="minor"/>
      </rPr>
      <t xml:space="preserve"> A bemutatott logika maradhat?
Van már EPTK? Hozzáférést kérhetek? Szeretnék szinkront, és gyors kitöltést előkészíteni)</t>
    </r>
  </si>
  <si>
    <t>Mi a helyzet a TelCo cégek termékeivel (Telekom, NaZi) - nincs minden fejlesztési célra megoldásuk !!! Nazi - van több alvállalkozójuk, Telekom: nincs mindenre</t>
  </si>
  <si>
    <r>
      <t xml:space="preserve">bármilyen és bármennyi HW, </t>
    </r>
    <r>
      <rPr>
        <b/>
        <sz val="11"/>
        <color theme="1"/>
        <rFont val="Aptos Narrow"/>
        <family val="2"/>
        <scheme val="minor"/>
      </rPr>
      <t>ÉS</t>
    </r>
    <r>
      <rPr>
        <sz val="11"/>
        <color theme="1"/>
        <rFont val="Aptos Narrow"/>
        <family val="2"/>
        <charset val="238"/>
        <scheme val="minor"/>
      </rPr>
      <t xml:space="preserve"> bármilyen és bármennyi SW esetén </t>
    </r>
    <r>
      <rPr>
        <b/>
        <sz val="11"/>
        <color theme="1"/>
        <rFont val="Aptos Narrow"/>
        <family val="2"/>
        <scheme val="minor"/>
      </rPr>
      <t>IGEN</t>
    </r>
    <r>
      <rPr>
        <sz val="11"/>
        <color theme="1"/>
        <rFont val="Aptos Narrow"/>
        <family val="2"/>
        <charset val="238"/>
        <scheme val="minor"/>
      </rPr>
      <t>, de legalább 1-1 minden kategóriában?</t>
    </r>
  </si>
  <si>
    <r>
      <t>Számítógép és notebook esetében a</t>
    </r>
    <r>
      <rPr>
        <b/>
        <sz val="11"/>
        <color theme="1"/>
        <rFont val="Aptos Narrow"/>
        <family val="2"/>
        <scheme val="minor"/>
      </rPr>
      <t xml:space="preserve"> vasat oprendszerrel</t>
    </r>
    <r>
      <rPr>
        <sz val="11"/>
        <color theme="1"/>
        <rFont val="Aptos Narrow"/>
        <family val="2"/>
        <charset val="238"/>
        <scheme val="minor"/>
      </rPr>
      <t xml:space="preserve"> együtt kell számlázni és így lehet a max költségre elszámolni, vagy oprendszer nélkül?</t>
    </r>
  </si>
  <si>
    <t>De lehet több szállító is ajánlatadó, ilyenkor minden szállítónak kimegy az érdeklődés, kinek-kinek miről (amit az ügyfél bejelöl) - jó így?</t>
  </si>
  <si>
    <r>
      <rPr>
        <b/>
        <sz val="11"/>
        <color theme="1"/>
        <rFont val="Aptos Narrow"/>
        <family val="2"/>
        <scheme val="minor"/>
      </rPr>
      <t>Kizárólag hardvert szállító</t>
    </r>
    <r>
      <rPr>
        <sz val="11"/>
        <color theme="1"/>
        <rFont val="Aptos Narrow"/>
        <family val="2"/>
        <charset val="238"/>
        <scheme val="minor"/>
      </rPr>
      <t xml:space="preserve"> töltsön fel </t>
    </r>
    <r>
      <rPr>
        <b/>
        <sz val="11"/>
        <color theme="1"/>
        <rFont val="Aptos Narrow"/>
        <family val="2"/>
        <scheme val="minor"/>
      </rPr>
      <t>legalább 1db szoftvert</t>
    </r>
    <r>
      <rPr>
        <sz val="11"/>
        <color theme="1"/>
        <rFont val="Aptos Narrow"/>
        <family val="2"/>
        <charset val="238"/>
        <scheme val="minor"/>
      </rPr>
      <t>, csak így engedje az ajánlatot beküldeni!</t>
    </r>
  </si>
  <si>
    <t>Ha csak HW vagy csak SW marad egy szállító kínálatában, mert pl. töröl a meglévő ajánlatai közül, akkor automatikusan inaktiválódik a termék, és tájékoztató üzenetet kap a szállító.Maradhat így?</t>
  </si>
  <si>
    <r>
      <rPr>
        <b/>
        <sz val="11"/>
        <color theme="1"/>
        <rFont val="Aptos Narrow"/>
        <family val="2"/>
        <scheme val="minor"/>
      </rPr>
      <t xml:space="preserve">Ügyfél ajánlat listázáshoz </t>
    </r>
    <r>
      <rPr>
        <sz val="11"/>
        <color theme="1"/>
        <rFont val="Aptos Narrow"/>
        <family val="2"/>
        <charset val="238"/>
        <scheme val="minor"/>
      </rPr>
      <t xml:space="preserve">egy opció javaslat: csak a </t>
    </r>
    <r>
      <rPr>
        <b/>
        <sz val="11"/>
        <color theme="1"/>
        <rFont val="Aptos Narrow"/>
        <family val="2"/>
        <scheme val="minor"/>
      </rPr>
      <t>MINDEN igényre ajánlatot adó szállítók listázása</t>
    </r>
    <r>
      <rPr>
        <sz val="11"/>
        <color theme="1"/>
        <rFont val="Aptos Narrow"/>
        <family val="2"/>
        <charset val="238"/>
        <scheme val="minor"/>
      </rPr>
      <t xml:space="preserve"> (nem alapértelmezett)</t>
    </r>
  </si>
  <si>
    <t>Akkreditációs kézikönyv szinten (módosítani szükséges !!!)</t>
  </si>
  <si>
    <r>
      <rPr>
        <b/>
        <sz val="11"/>
        <color theme="1"/>
        <rFont val="Aptos Narrow"/>
        <family val="2"/>
        <scheme val="minor"/>
      </rPr>
      <t>Dr. Felhős</t>
    </r>
    <r>
      <rPr>
        <sz val="11"/>
        <color theme="1"/>
        <rFont val="Aptos Narrow"/>
        <family val="2"/>
        <charset val="238"/>
        <scheme val="minor"/>
      </rPr>
      <t xml:space="preserve"> - Csaba kezeli, mindent megírtam, türelmet kérő email ment</t>
    </r>
  </si>
  <si>
    <t>Csak ilyen esetben</t>
  </si>
  <si>
    <t>MI alkalmazása</t>
  </si>
  <si>
    <t>Adható a +2 pont, ha vállalja a 4 részcél bármelyikét</t>
  </si>
  <si>
    <t>Adható a +2 pont, ha a vállalás alátámasztható a megadott fejlesztési célokból szerzett pontokkal, illetve az elmozdulás mértékével</t>
  </si>
  <si>
    <t>Vállalja a DFK elkészítését?</t>
  </si>
  <si>
    <t>Elvárások</t>
  </si>
  <si>
    <t>Digitális intenzitási szint</t>
  </si>
  <si>
    <t>Nagyon alacsony intenzitás</t>
  </si>
  <si>
    <t>Nagyon magas intenzitás</t>
  </si>
  <si>
    <t>Magas intenzitás</t>
  </si>
  <si>
    <t>Alacsony intenzitás</t>
  </si>
  <si>
    <t>Pontszám</t>
  </si>
  <si>
    <r>
      <rPr>
        <b/>
        <sz val="11"/>
        <color theme="1"/>
        <rFont val="Aptos Narrow"/>
        <family val="2"/>
        <scheme val="minor"/>
      </rPr>
      <t xml:space="preserve">Belépési feltétel: </t>
    </r>
    <r>
      <rPr>
        <sz val="11"/>
        <color theme="1"/>
        <rFont val="Aptos Narrow"/>
        <family val="2"/>
        <charset val="238"/>
        <scheme val="minor"/>
      </rPr>
      <t xml:space="preserve">
Nagyon alacsony intenzitás</t>
    </r>
  </si>
  <si>
    <r>
      <rPr>
        <b/>
        <sz val="11"/>
        <color theme="1"/>
        <rFont val="Aptos Narrow"/>
        <family val="2"/>
        <scheme val="minor"/>
      </rPr>
      <t xml:space="preserve">Támogatási cél: </t>
    </r>
    <r>
      <rPr>
        <sz val="11"/>
        <color theme="1"/>
        <rFont val="Aptos Narrow"/>
        <family val="2"/>
        <charset val="238"/>
        <scheme val="minor"/>
      </rPr>
      <t xml:space="preserve">
Legalább alapszintű intenzitás</t>
    </r>
  </si>
  <si>
    <t>Adható a +4 pont, ha a vállalás alátámasztható a megadott fejlesztési célokból szerzett pontokkal, illetve az elmozdulás mértékével</t>
  </si>
  <si>
    <t xml:space="preserve">Legalább 30 Mbps sebességű helyhez kötött internetkapcsolat </t>
  </si>
  <si>
    <t xml:space="preserve">Alkalmazottak több mint 50%-a rendelkezik internet-hozzáféréssel üzleti célból </t>
  </si>
  <si>
    <t xml:space="preserve">Távoli hozzáférés a következők valamelyikéhez: e-mail, dokumentumok, üzleti alkalmazás </t>
  </si>
  <si>
    <t xml:space="preserve">Online (távoli) megbeszélések tartása </t>
  </si>
  <si>
    <t xml:space="preserve">IKT-képzés biztosítása az alkalmazottaknak </t>
  </si>
  <si>
    <t xml:space="preserve">IKT-szakember igénybevétele </t>
  </si>
  <si>
    <t xml:space="preserve">Alkalmazottak tájékoztatása az IKT-biztonsággal kapcsolatos kötelezettségeikről </t>
  </si>
  <si>
    <t xml:space="preserve">Legalább 3 IKT-biztonsági intézkedés alkalmazása </t>
  </si>
  <si>
    <t xml:space="preserve">IKT-biztonsági gyakorlatokat, eljárásokat rögzítő dokumentumok megléte </t>
  </si>
  <si>
    <t xml:space="preserve">Saját weboldallal/honlappal való rendelkezés </t>
  </si>
  <si>
    <t xml:space="preserve">Bármilyen közösségi média használata </t>
  </si>
  <si>
    <t xml:space="preserve">Kettő vagy több típusú közösségi média használata </t>
  </si>
  <si>
    <t xml:space="preserve">Bármilyen fizetős felhőszolgáltatás használata </t>
  </si>
  <si>
    <t xml:space="preserve">Fejlett vagy közepesen fejlett fizetős felhőszolgáltatás használata </t>
  </si>
  <si>
    <t xml:space="preserve">Vállalati erőforrás-tervezési (ERP) megoldás használata </t>
  </si>
  <si>
    <t xml:space="preserve">Ügyfélkapcsolat-kezelési (CRM) megoldás használata </t>
  </si>
  <si>
    <t xml:space="preserve">Adatanalitika végzése külső vagy belső erőforrással </t>
  </si>
  <si>
    <t xml:space="preserve">Mesterséges intelligencia (MI) technológia üzleti célú használata </t>
  </si>
  <si>
    <t xml:space="preserve">Ipari vagy szolgáltató robot használata </t>
  </si>
  <si>
    <t xml:space="preserve">IoT-eszközök/rendszerek használata </t>
  </si>
  <si>
    <t xml:space="preserve">Automatizált feldolgozásra alkalmas e-számlák küldése </t>
  </si>
  <si>
    <t xml:space="preserve">Webes (weblap/applikáció) értékesítés </t>
  </si>
  <si>
    <t xml:space="preserve">Elektronikus (weblap/applikáció/EDI) értékesítés </t>
  </si>
  <si>
    <t>A projekt megvalósításával vállalt digitális intenzitási szint:</t>
  </si>
  <si>
    <t>Szintugrás mértéke, tervezetten:</t>
  </si>
  <si>
    <t>A pályázónál figyelembe vehető alkalmazotti / alvállalkozói létszám:</t>
  </si>
  <si>
    <r>
      <t xml:space="preserve">Ha valakinek nincs még </t>
    </r>
    <r>
      <rPr>
        <b/>
        <sz val="11"/>
        <color rgb="FFFF0000"/>
        <rFont val="Aptos Narrow"/>
        <family val="2"/>
        <scheme val="minor"/>
      </rPr>
      <t>céges</t>
    </r>
    <r>
      <rPr>
        <sz val="11"/>
        <color theme="1"/>
        <rFont val="Aptos Narrow"/>
        <family val="2"/>
        <charset val="238"/>
        <scheme val="minor"/>
      </rPr>
      <t xml:space="preserve"> internete a telephelyén, mindenképpen be kell szereznie a 7%-os keret terhére? A mobil internetet is? (+2 pont fontos lenne)</t>
    </r>
  </si>
  <si>
    <t>Meglévő fejlesztésért kapott pont
(ALAPADATOK fülön a bemeneti felmérés eredménye szerint)</t>
  </si>
  <si>
    <t>Amit csak csokorba kötve lehet megvenni, azt az ajánlat kiválasztásánál kell kötelezővé tenni (ilyenkor több szállítótól is kell tudnia választani?</t>
  </si>
  <si>
    <r>
      <rPr>
        <b/>
        <sz val="11"/>
        <color theme="1"/>
        <rFont val="Aptos Narrow"/>
        <family val="2"/>
        <scheme val="minor"/>
      </rPr>
      <t>Apple 10.89" tablet -</t>
    </r>
    <r>
      <rPr>
        <sz val="11"/>
        <color theme="1"/>
        <rFont val="Aptos Narrow"/>
        <family val="2"/>
        <charset val="238"/>
        <scheme val="minor"/>
      </rPr>
      <t xml:space="preserve"> nem 11 " a tablet mérete, hanem 10,9" az Apple szerint a kerekített sarok miatt, a felhívás mellékletben (vagy IH állásfoglalással, a felületünkön kiírva) pontosítani szükséges a minimum méretet! Egyébként kizárja a melléklet!</t>
    </r>
  </si>
  <si>
    <t>Ellentmondás a bemeneti mérés és a kiválasztott fejlesztési cél között</t>
  </si>
  <si>
    <r>
      <t xml:space="preserve">A </t>
    </r>
    <r>
      <rPr>
        <b/>
        <sz val="11"/>
        <color theme="1"/>
        <rFont val="Aptos Narrow"/>
        <family val="2"/>
        <scheme val="minor"/>
      </rPr>
      <t>Bevezetési, üzemeltetési szolgáltatás</t>
    </r>
    <r>
      <rPr>
        <sz val="11"/>
        <color theme="1"/>
        <rFont val="Aptos Narrow"/>
        <family val="2"/>
        <charset val="238"/>
        <scheme val="minor"/>
      </rPr>
      <t xml:space="preserve"> esetében validálni szükséges a szolgáltatás igénybevételének hónapjait.</t>
    </r>
  </si>
  <si>
    <t>árkalk nincs, a szállítótól kérjen árat</t>
  </si>
  <si>
    <t>Szolgáltatást, oktatást mikor, kinek engedjük meg? Mi ennek a belépési feltétele? Van szállító, aki csak erre specializálódott - mit követelünk meg tőle (1 hw vagy 1 sw elegendő?)</t>
  </si>
  <si>
    <t>Az egységköltségek 90%-a kerül kifizetésre</t>
  </si>
  <si>
    <t>A fejlesztés az Észak-Alföldi- vagy az Észak-Magyarországi- vagy a Dél-Dunántúli- vagy a Dél-Alföldi régió területén történik ?</t>
  </si>
  <si>
    <t>Összesen az alapparaméterek és a vállalások max 12 pontot érnek</t>
  </si>
  <si>
    <t>Az összetevő teljesítése 
VÁLASZTHATÓ.</t>
  </si>
  <si>
    <t>Ha igen, át kell vezetni (lentre), a megszerzés időpontja:</t>
  </si>
  <si>
    <t>Exchange Plan 1</t>
  </si>
  <si>
    <t>Adható a +2 pont, ha vállalja a fejlesztést</t>
  </si>
  <si>
    <t>A pályázat benyújtásánál kapható pontok:</t>
  </si>
  <si>
    <t>Területi dimenzióért adható + pont</t>
  </si>
  <si>
    <t>Releváns értékelési szempontok</t>
  </si>
  <si>
    <t>Kibervédelmi intézkedések bevezetése</t>
  </si>
  <si>
    <t>Összesen:</t>
  </si>
  <si>
    <r>
      <rPr>
        <b/>
        <sz val="11"/>
        <color theme="1"/>
        <rFont val="Aptos Narrow"/>
        <family val="2"/>
        <scheme val="minor"/>
      </rPr>
      <t>Bemeneti</t>
    </r>
    <r>
      <rPr>
        <sz val="11"/>
        <color theme="1"/>
        <rFont val="Aptos Narrow"/>
        <family val="2"/>
        <charset val="238"/>
        <scheme val="minor"/>
      </rPr>
      <t xml:space="preserve"> DII pont és szint:</t>
    </r>
  </si>
  <si>
    <t>A szintugrás mértéke a fejlesztéseket követően:</t>
  </si>
  <si>
    <t>NomadCRM, HubSpot</t>
  </si>
  <si>
    <r>
      <t xml:space="preserve">Vállalja, hogy </t>
    </r>
    <r>
      <rPr>
        <b/>
        <sz val="11"/>
        <rFont val="Aptos Narrow"/>
        <family val="2"/>
        <scheme val="minor"/>
      </rPr>
      <t>nagyon alacsonyból</t>
    </r>
    <r>
      <rPr>
        <sz val="11"/>
        <rFont val="Aptos Narrow"/>
        <family val="2"/>
        <scheme val="minor"/>
      </rPr>
      <t xml:space="preserve"> legalább </t>
    </r>
    <r>
      <rPr>
        <b/>
        <sz val="11"/>
        <rFont val="Aptos Narrow"/>
        <family val="2"/>
        <scheme val="minor"/>
      </rPr>
      <t>alacsony</t>
    </r>
    <r>
      <rPr>
        <sz val="11"/>
        <rFont val="Aptos Narrow"/>
        <family val="2"/>
        <scheme val="minor"/>
      </rPr>
      <t xml:space="preserve"> szintre növekszik a DII indexe? (+1 szint)</t>
    </r>
  </si>
  <si>
    <r>
      <t xml:space="preserve">Vállalja, hogy </t>
    </r>
    <r>
      <rPr>
        <b/>
        <sz val="11"/>
        <rFont val="Aptos Narrow"/>
        <family val="2"/>
        <scheme val="minor"/>
      </rPr>
      <t>nagyon alacsonyból</t>
    </r>
    <r>
      <rPr>
        <sz val="11"/>
        <rFont val="Aptos Narrow"/>
        <family val="2"/>
        <scheme val="minor"/>
      </rPr>
      <t xml:space="preserve"> legalább </t>
    </r>
    <r>
      <rPr>
        <b/>
        <sz val="11"/>
        <rFont val="Aptos Narrow"/>
        <family val="2"/>
        <scheme val="minor"/>
      </rPr>
      <t>magas</t>
    </r>
    <r>
      <rPr>
        <sz val="11"/>
        <rFont val="Aptos Narrow"/>
        <family val="2"/>
        <scheme val="minor"/>
      </rPr>
      <t xml:space="preserve"> szintre növekszik a DII indexe? (+2 szint)</t>
    </r>
  </si>
  <si>
    <t>Fenntartási időszakra eső költségek (irányadó jelleggel, változatlan egységköltségekkel)</t>
  </si>
  <si>
    <t>Fenntartási időszakra eső költségek (irányadó jelleggel, olcsóbb egységköltségekkel)</t>
  </si>
  <si>
    <r>
      <t xml:space="preserve">A fenntartási időszakra eső költség 
</t>
    </r>
    <r>
      <rPr>
        <sz val="10"/>
        <color rgb="FF000000"/>
        <rFont val="Arial"/>
        <family val="2"/>
        <charset val="238"/>
      </rPr>
      <t>(1 főre, 1 hónapra)</t>
    </r>
  </si>
  <si>
    <t>M365 Business Basic</t>
  </si>
  <si>
    <t>M365 Business Standard</t>
  </si>
  <si>
    <t>Nincs</t>
  </si>
  <si>
    <t>Alternatíva:</t>
  </si>
  <si>
    <t>Havidíja, nettó:</t>
  </si>
  <si>
    <t>Pénznem</t>
  </si>
  <si>
    <t>Devizanév</t>
  </si>
  <si>
    <t>Egység</t>
  </si>
  <si>
    <t>Forintban kifejezett érték</t>
  </si>
  <si>
    <t>CHF</t>
  </si>
  <si>
    <t>svájci frank</t>
  </si>
  <si>
    <t>EUR</t>
  </si>
  <si>
    <t>euro</t>
  </si>
  <si>
    <t>USD</t>
  </si>
  <si>
    <t>USA dollár</t>
  </si>
  <si>
    <t>Euro-ban</t>
  </si>
  <si>
    <t>Megjegyzés</t>
  </si>
  <si>
    <t>Microsoft 365 Vállalati alapverzió EGT (Teams nélkül)</t>
  </si>
  <si>
    <t>Aktuális (MNB) EUR középárfolyam:</t>
  </si>
  <si>
    <t>Microsoft 365 Vállalati standard verzió EGT (Teams nélkül)</t>
  </si>
  <si>
    <t>Microsoft 365 Vállalati prémium verzió EGT (Teams nélkül)</t>
  </si>
  <si>
    <t>Cpanel</t>
  </si>
  <si>
    <t>NextCloud</t>
  </si>
  <si>
    <t>VPN</t>
  </si>
  <si>
    <t>Standard MS Teams telefon</t>
  </si>
  <si>
    <t>MS Teams</t>
  </si>
  <si>
    <t>Webex</t>
  </si>
  <si>
    <t>Webex Starter</t>
  </si>
  <si>
    <t>Megegyezés szerint, pl.:</t>
  </si>
  <si>
    <t>Nem releváns, nincs fenntartási kötelezettség</t>
  </si>
  <si>
    <t>Fejlesztésért
kapott pont (Szoftver + Szolgáltatás, internet nélkül)</t>
  </si>
  <si>
    <t>Nem releváns, a fejlesztés elején megtörtént</t>
  </si>
  <si>
    <t>A pályázó már rendelkezik a DFK -val?</t>
  </si>
  <si>
    <t>Nem releváns, nincs fenntartási kötelezettség a bevezetésre</t>
  </si>
  <si>
    <r>
      <t xml:space="preserve">A </t>
    </r>
    <r>
      <rPr>
        <b/>
        <sz val="11"/>
        <color theme="1"/>
        <rFont val="Aptos Narrow"/>
        <family val="2"/>
        <scheme val="minor"/>
      </rPr>
      <t>Karbantartás/frissítés, 
a Webtárhely</t>
    </r>
    <r>
      <rPr>
        <sz val="11"/>
        <color theme="1"/>
        <rFont val="Aptos Narrow"/>
        <family val="2"/>
        <charset val="238"/>
        <scheme val="minor"/>
      </rPr>
      <t xml:space="preserve">, valamint 
az </t>
    </r>
    <r>
      <rPr>
        <b/>
        <sz val="11"/>
        <color theme="1"/>
        <rFont val="Aptos Narrow"/>
        <family val="2"/>
        <scheme val="minor"/>
      </rPr>
      <t xml:space="preserve">SSL tanúsítvány </t>
    </r>
    <r>
      <rPr>
        <sz val="11"/>
        <color theme="1"/>
        <rFont val="Aptos Narrow"/>
        <family val="2"/>
        <charset val="238"/>
        <scheme val="minor"/>
      </rPr>
      <t>esetében validálni szükséges 
az elszámolni kívánt (teljesült) hónapok számát.</t>
    </r>
  </si>
  <si>
    <t>ESET Nod32</t>
  </si>
  <si>
    <t>Heimdall</t>
  </si>
  <si>
    <t>Norton</t>
  </si>
  <si>
    <t>Bitdefender</t>
  </si>
  <si>
    <t>Backup 1</t>
  </si>
  <si>
    <t>Backup 2</t>
  </si>
  <si>
    <t>Backup 3</t>
  </si>
  <si>
    <t>Backup 4</t>
  </si>
  <si>
    <t>Backup 5</t>
  </si>
  <si>
    <t>Microsec</t>
  </si>
  <si>
    <t>Netlock</t>
  </si>
  <si>
    <t>Fejlesztési célok, követelmények alternatív megvalósítási lehetőségei, szakmai tartalom minőségromlása nélkül</t>
  </si>
  <si>
    <t>CoPilot</t>
  </si>
  <si>
    <t>ChatGPT</t>
  </si>
  <si>
    <t>Grok</t>
  </si>
  <si>
    <t>Perplexity</t>
  </si>
  <si>
    <r>
      <t xml:space="preserve">Helyettesítő, alternatív vagy egyenértékű termék/szolgáltatás
</t>
    </r>
    <r>
      <rPr>
        <b/>
        <sz val="11"/>
        <color rgb="FFC00000"/>
        <rFont val="Aptos Narrow"/>
        <family val="2"/>
        <scheme val="minor"/>
      </rPr>
      <t xml:space="preserve">
gördülő menü, válassz!</t>
    </r>
  </si>
  <si>
    <t>DII kérdőív a bemeneti méréshez, intenzitás meghatározáshoz (az adatokat a későbbiekben automatikusan felhasználjuk)</t>
  </si>
  <si>
    <t>Havidíjas továbbadott szolgáltatás</t>
  </si>
  <si>
    <t>Többféle lehetőség is rendelkezésre áll</t>
  </si>
  <si>
    <t>Intel - i7/AMD - Ryzen 7/Apple
- M2 Pro / M3/Qualcomm -
Snapdragon X Elite,512GB
SSD, 16 GB RAM</t>
  </si>
  <si>
    <t>képernyő 14”, Intel - i7/AMD -
Ryzen 7/Apple - M2 Pro /
M3/Qualcomm - Snapdragon
X Elite, 512GB SSD, 16GB</t>
  </si>
  <si>
    <t>lézernyomtató, szkenner, kétoldalas, színes, szkenner felbontás: 600*600 DPI; nyomtatási felbontás: 1200*1200 DPI, USB,
Wifi/LAN</t>
  </si>
  <si>
    <t>* A „3. Távoli hozzáférés a következők valamelyikéhez: e-mail, dokumentumok, üzleti alkalmazás” és a „6. IKT-szakember igénybevétele” fejlesztési célok egy projektben együttesen nem választhatók.</t>
  </si>
  <si>
    <t>** Az „5. IKT-képzés biztosítása az alkalmazottaknak” fejlesztési célra tervezhető összeg nem
haladhatja meg a projekt európai unió felé elszámolható összköltségének 20%-át</t>
  </si>
  <si>
    <t>*** A „7. Alkalmazottak tájékoztatása az IKT-biztonsággal kapcsolatos kötelezettségeikről” fejlesztési célra tervezhető összeg nem haladhatja meg a projekt európai unió felé elszámolható összköltségének 10%-át.</t>
  </si>
  <si>
    <t>**** A „11. Bármilyen közösségi média használata” és a „12. Kettő vagy több típusú közösségi média használata” fejlesztési célok egy projektben együttesen nem választhatók.</t>
  </si>
  <si>
    <t>***** A „12. Kettő vagy több típusú közösségi média használata” fejlesztési cél esetén, a
Képzés összetevőben maximum 1 fő képzése tervezhető és számolható el a projekt keretében.</t>
  </si>
  <si>
    <t>Bemeneti mérés igazolása:</t>
  </si>
  <si>
    <r>
      <t xml:space="preserve">A kiindulási digitális intenzitási szint megállapítását és ezzel </t>
    </r>
    <r>
      <rPr>
        <b/>
        <sz val="10"/>
        <color rgb="FF000000"/>
        <rFont val="Arial-BoldMT"/>
      </rPr>
      <t>a támogatásra való jogosultság igazolásaként kizárólag a fenti rendszerből származó</t>
    </r>
    <r>
      <rPr>
        <sz val="10"/>
        <color rgb="FF000000"/>
        <rFont val="ArialMT"/>
      </rPr>
      <t xml:space="preserve">, egyedi azonosítóval ellátott, érvényes bemeneti felmérés eredményét igazoló </t>
    </r>
    <r>
      <rPr>
        <i/>
        <sz val="10"/>
        <color rgb="FF000000"/>
        <rFont val="Arial-ItalicMT"/>
      </rPr>
      <t xml:space="preserve">„Igazolás a vállalati digitális intenzitási szint pontszámról és szintről” </t>
    </r>
    <r>
      <rPr>
        <sz val="10"/>
        <color rgb="FF000000"/>
        <rFont val="ArialMT"/>
      </rPr>
      <t>nevű dokumentum fogadható el.</t>
    </r>
  </si>
  <si>
    <r>
      <t xml:space="preserve">A bemeneti felmérés keretében kitöltésre kerülő kérdőív eredményeképpen szintén kiállításra kerül a fenti rendszerben egy egyedi azonosítóval ellátott, érvényes, a bemeneti felmérés eredménye alapján megállapított </t>
    </r>
    <r>
      <rPr>
        <i/>
        <sz val="10"/>
        <color rgb="FF000000"/>
        <rFont val="Arial-ItalicMT"/>
      </rPr>
      <t xml:space="preserve">„Igazolás a vállalati Közösségi mutató alapján meghatározott digitális intenzitási pontszámról és szintről” </t>
    </r>
    <r>
      <rPr>
        <sz val="10"/>
        <color rgb="FF000000"/>
        <rFont val="ArialMT"/>
      </rPr>
      <t>nevű, a közösségi mutató szerinti digitális intenzitási szint bemeneti mérését igazoló dokumentum is, amely csatolása a támogatási kérelemhez szintén szükséges.</t>
    </r>
  </si>
  <si>
    <t>A fenti igazolások eredeti, hitelesített változatát a támogatási kérelemhez be kell nyújtani. A felmérés elvégzésének időpontja nem lehet korábbi, mint a támogatási kérelem benyújtását megelőző 60 nap.</t>
  </si>
  <si>
    <t>Ütközés más fejlesztési céllal</t>
  </si>
  <si>
    <r>
      <t xml:space="preserve">Ha igen, a pályázónak a DKF oldalon végzett digitális szintfelmérésekor kapott DI pontszáma. </t>
    </r>
    <r>
      <rPr>
        <b/>
        <sz val="11"/>
        <color theme="1"/>
        <rFont val="Aptos Narrow"/>
        <family val="2"/>
        <scheme val="minor"/>
      </rPr>
      <t>A lenti táblázatban</t>
    </r>
    <r>
      <rPr>
        <sz val="11"/>
        <color theme="1"/>
        <rFont val="Aptos Narrow"/>
        <family val="2"/>
        <charset val="238"/>
        <scheme val="minor"/>
      </rPr>
      <t xml:space="preserve"> pipáld be a relevánsakat!</t>
    </r>
  </si>
  <si>
    <t>Szerződés vagy szerződés hiányában visszaigazolt írásos megrendelő</t>
  </si>
  <si>
    <r>
      <t xml:space="preserve">Szerződés vagy szerződés hiányában visszaigazolt írásos megrendelő.
Képernyőkép vagy videofelvétel az online formátumú üzleti megbeszélésekről (legalább 4 darab megbeszélés / év, </t>
    </r>
    <r>
      <rPr>
        <b/>
        <sz val="11"/>
        <color theme="1"/>
        <rFont val="Aptos Narrow"/>
        <family val="2"/>
        <scheme val="minor"/>
      </rPr>
      <t xml:space="preserve"> eltérő napon</t>
    </r>
    <r>
      <rPr>
        <sz val="11"/>
        <color theme="1"/>
        <rFont val="Aptos Narrow"/>
        <family val="2"/>
        <charset val="238"/>
        <scheme val="minor"/>
      </rPr>
      <t xml:space="preserve"> megtartva)</t>
    </r>
  </si>
  <si>
    <t>Szerződés, igazolás a teljesített órákról.</t>
  </si>
  <si>
    <t xml:space="preserve">Jelenléti ív vagy képző szerv igazolása a képzésen való részvételről vagy online képzés esetén képernyőkép a képzésről. </t>
  </si>
  <si>
    <t>Szerződés vagy szerződés hiányában visszaigazolt írásos megrendelő.</t>
  </si>
  <si>
    <t xml:space="preserve">Szerződés vagy szerződés hiányában visszaigazolt írásos megrendelő. 
Elkészült GDPR alapfelmérés és nyilvántartás, valamint IBSZ.
Képzés esetében jelenléti ív vagy képző szerv igazolása a képzésen való részvételről vagy online képzés esetén képernyőkép a képzésről. </t>
  </si>
  <si>
    <t xml:space="preserve">Szerződés vagy szerződés hiányában visszaigazolt írásos megrendelő, valamint a weboldal elérhetősége (link). </t>
  </si>
  <si>
    <t xml:space="preserve">Szerződés vagy szerződés hiányában visszaigazolt írásos megrendelő
Képzés esetében jelenléti ív vagy képző szerv igazolása a képzésen való részvételről vagy online képzés esetén képernyőkép a képzésről. </t>
  </si>
  <si>
    <t>Kamu árak, pontosítani szükséges!</t>
  </si>
  <si>
    <r>
      <t xml:space="preserve">megtakarítás mértéke
</t>
    </r>
    <r>
      <rPr>
        <sz val="10"/>
        <color theme="9" tint="0.79998168889431442"/>
        <rFont val="Arial"/>
        <family val="2"/>
        <charset val="238"/>
      </rPr>
      <t>(36 hónapra, összes felhasználóra)</t>
    </r>
  </si>
  <si>
    <t>Képzés</t>
  </si>
  <si>
    <t>Akár havi 40-80 óra</t>
  </si>
  <si>
    <t>Nem releváns, nincs fenntartási kötelezettség a képzésre</t>
  </si>
  <si>
    <t>Billingo! A számlázz.hu agent sokba kerül!</t>
  </si>
  <si>
    <t>Átgondolandó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</si>
</sst>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0">
    <numFmt numFmtId="164" formatCode="#,##0\ &quot;Ft&quot;"/>
    <numFmt numFmtId="165" formatCode="General&quot; fő&quot;"/>
    <numFmt numFmtId="166" formatCode="General&quot; óra&quot;"/>
    <numFmt numFmtId="167" formatCode="General&quot; db&quot;"/>
    <numFmt numFmtId="168" formatCode="##,###,###&quot; Ft / fő / hó&quot;"/>
    <numFmt numFmtId="169" formatCode="###,###,###&quot; Ft / hó&quot;"/>
    <numFmt numFmtId="170" formatCode="###,###,###&quot; Ft / év&quot;"/>
    <numFmt numFmtId="171" formatCode="#,##0.00\ [$EUR]"/>
    <numFmt numFmtId="172" formatCode="##,###,###&quot; Ft / db / hó&quot;"/>
    <numFmt numFmtId="173" formatCode="General&quot; pont&quot;"/>
  </numFmts>
  <fonts count="50">
    <font>
      <sz val="11"/>
      <color theme="1"/>
      <name val="Aptos Narrow"/>
      <family val="2"/>
      <charset val="238"/>
      <scheme val="minor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sz val="10"/>
      <color rgb="FF000000"/>
      <name val="Consolas"/>
      <family val="3"/>
      <charset val="238"/>
    </font>
    <font>
      <sz val="9"/>
      <color indexed="81"/>
      <name val="Tahoma"/>
      <family val="2"/>
      <charset val="238"/>
    </font>
    <font>
      <b/>
      <sz val="11"/>
      <color theme="1"/>
      <name val="Aptos Narrow"/>
      <family val="2"/>
      <scheme val="minor"/>
    </font>
    <font>
      <b/>
      <sz val="10"/>
      <color rgb="FF000000"/>
      <name val="Arial-BoldMT"/>
    </font>
    <font>
      <b/>
      <sz val="9"/>
      <color indexed="81"/>
      <name val="Tahoma"/>
      <family val="2"/>
      <charset val="238"/>
    </font>
    <font>
      <sz val="10"/>
      <color indexed="81"/>
      <name val="Tahoma"/>
      <family val="2"/>
      <charset val="238"/>
    </font>
    <font>
      <sz val="10"/>
      <name val="Arial"/>
      <family val="2"/>
      <charset val="238"/>
    </font>
    <font>
      <sz val="10"/>
      <color rgb="FF000000"/>
      <name val="Aptos Narrow"/>
      <family val="2"/>
      <scheme val="minor"/>
    </font>
    <font>
      <b/>
      <sz val="10"/>
      <color rgb="FF000000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4"/>
      <color theme="1"/>
      <name val="Aptos Narrow"/>
      <family val="2"/>
      <scheme val="minor"/>
    </font>
    <font>
      <b/>
      <sz val="14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1"/>
      <color theme="0"/>
      <name val="Aptos Narrow"/>
      <family val="2"/>
      <charset val="238"/>
      <scheme val="minor"/>
    </font>
    <font>
      <sz val="10"/>
      <color theme="0" tint="-0.34998626667073579"/>
      <name val="Arial"/>
      <family val="2"/>
      <charset val="238"/>
    </font>
    <font>
      <sz val="11"/>
      <name val="Aptos Narrow"/>
      <family val="2"/>
      <charset val="238"/>
      <scheme val="minor"/>
    </font>
    <font>
      <sz val="11"/>
      <color rgb="FFFF0000"/>
      <name val="Aptos Narrow"/>
      <family val="2"/>
      <charset val="238"/>
      <scheme val="minor"/>
    </font>
    <font>
      <sz val="11"/>
      <color rgb="FF000000"/>
      <name val="ArialMT"/>
    </font>
    <font>
      <b/>
      <sz val="11"/>
      <color rgb="FFFF0000"/>
      <name val="Aptos Narrow"/>
      <family val="2"/>
      <scheme val="minor"/>
    </font>
    <font>
      <u/>
      <sz val="11"/>
      <color theme="10"/>
      <name val="Aptos Narrow"/>
      <family val="2"/>
      <charset val="238"/>
      <scheme val="minor"/>
    </font>
    <font>
      <b/>
      <u/>
      <sz val="11"/>
      <color theme="1"/>
      <name val="Aptos Narrow"/>
      <family val="2"/>
      <scheme val="minor"/>
    </font>
    <font>
      <b/>
      <sz val="11"/>
      <name val="Aptos Narrow"/>
      <family val="2"/>
      <scheme val="minor"/>
    </font>
    <font>
      <sz val="11"/>
      <name val="Aptos Narrow"/>
      <family val="2"/>
      <scheme val="minor"/>
    </font>
    <font>
      <b/>
      <sz val="10"/>
      <color theme="0"/>
      <name val="Arial"/>
      <family val="2"/>
      <charset val="238"/>
    </font>
    <font>
      <b/>
      <sz val="10"/>
      <color theme="1"/>
      <name val="Aptos Narrow"/>
      <family val="2"/>
      <scheme val="minor"/>
    </font>
    <font>
      <b/>
      <sz val="9"/>
      <color rgb="FF000000"/>
      <name val="Arial"/>
      <family val="2"/>
      <charset val="238"/>
    </font>
    <font>
      <sz val="8"/>
      <name val="Aptos Narrow"/>
      <family val="2"/>
      <charset val="238"/>
      <scheme val="minor"/>
    </font>
    <font>
      <b/>
      <sz val="11"/>
      <color rgb="FFC00000"/>
      <name val="Aptos Narrow"/>
      <family val="2"/>
      <scheme val="minor"/>
    </font>
    <font>
      <sz val="11"/>
      <color rgb="FFC00000"/>
      <name val="Aptos Narrow"/>
      <family val="2"/>
      <charset val="238"/>
      <scheme val="minor"/>
    </font>
    <font>
      <sz val="10"/>
      <color rgb="FF000000"/>
      <name val="ArialMT"/>
    </font>
    <font>
      <sz val="11"/>
      <color theme="9" tint="-0.499984740745262"/>
      <name val="Aptos Narrow"/>
      <family val="2"/>
      <charset val="238"/>
      <scheme val="minor"/>
    </font>
    <font>
      <b/>
      <sz val="11"/>
      <color theme="9" tint="-0.499984740745262"/>
      <name val="Aptos Narrow"/>
      <family val="2"/>
      <scheme val="minor"/>
    </font>
    <font>
      <b/>
      <i/>
      <sz val="11"/>
      <color theme="9" tint="-0.499984740745262"/>
      <name val="Aptos Narrow"/>
      <family val="2"/>
      <scheme val="minor"/>
    </font>
    <font>
      <i/>
      <sz val="11"/>
      <color theme="1"/>
      <name val="Aptos Narrow"/>
      <family val="2"/>
      <scheme val="minor"/>
    </font>
    <font>
      <b/>
      <sz val="10"/>
      <color theme="9" tint="-0.499984740745262"/>
      <name val="Arial-BoldMT"/>
    </font>
    <font>
      <i/>
      <sz val="10"/>
      <color rgb="FF000000"/>
      <name val="Arial-ItalicMT"/>
    </font>
    <font>
      <sz val="10"/>
      <color theme="0"/>
      <name val="Arial"/>
      <family val="2"/>
      <charset val="238"/>
    </font>
    <font>
      <b/>
      <sz val="10"/>
      <color theme="9" tint="0.79998168889431442"/>
      <name val="Arial"/>
      <family val="2"/>
      <charset val="238"/>
    </font>
    <font>
      <sz val="10"/>
      <color theme="9" tint="0.79998168889431442"/>
      <name val="Arial"/>
      <family val="2"/>
      <charset val="238"/>
    </font>
    <font>
      <b/>
      <sz val="11"/>
      <color theme="9"/>
      <name val="Aptos Narrow"/>
      <family val="2"/>
      <scheme val="minor"/>
    </font>
    <font>
      <sz val="10"/>
      <color theme="2" tint="-0.249977111117893"/>
      <name val="Arial"/>
      <family val="2"/>
      <charset val="238"/>
    </font>
    <font>
      <sz val="11"/>
      <color theme="2" tint="-0.249977111117893"/>
      <name val="Aptos Narrow"/>
      <family val="2"/>
      <scheme val="minor"/>
    </font>
    <font>
      <sz val="10"/>
      <color rgb="FF000000"/>
      <name val="Tahoma"/>
      <family val="2"/>
      <charset val="238"/>
    </font>
    <font>
      <sz val="9"/>
      <color rgb="FF000000"/>
      <name val="Tahoma"/>
      <family val="2"/>
      <charset val="238"/>
    </font>
    <font>
      <b/>
      <sz val="10"/>
      <color rgb="FF000000"/>
      <name val="Tahoma"/>
      <family val="2"/>
      <charset val="238"/>
    </font>
  </fonts>
  <fills count="16">
    <fill>
      <patternFill patternType="none"/>
    </fill>
    <fill>
      <patternFill patternType="gray125"/>
    </fill>
    <fill>
      <patternFill patternType="solid">
        <fgColor rgb="FFBFBFBF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-0.499984740745262"/>
        <bgColor indexed="64"/>
      </patternFill>
    </fill>
    <fill>
      <patternFill patternType="solid">
        <fgColor rgb="FFFFC000"/>
        <bgColor indexed="64"/>
      </patternFill>
    </fill>
  </fills>
  <borders count="132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thick">
        <color indexed="64"/>
      </left>
      <right style="medium">
        <color indexed="64"/>
      </right>
      <top style="thick">
        <color indexed="64"/>
      </top>
      <bottom/>
      <diagonal/>
    </border>
    <border>
      <left style="medium">
        <color indexed="64"/>
      </left>
      <right style="medium">
        <color indexed="64"/>
      </right>
      <top style="thick">
        <color indexed="64"/>
      </top>
      <bottom/>
      <diagonal/>
    </border>
    <border>
      <left/>
      <right style="medium">
        <color indexed="64"/>
      </right>
      <top style="thick">
        <color indexed="64"/>
      </top>
      <bottom style="medium">
        <color indexed="64"/>
      </bottom>
      <diagonal/>
    </border>
    <border>
      <left/>
      <right style="thick">
        <color indexed="64"/>
      </right>
      <top style="thick">
        <color indexed="64"/>
      </top>
      <bottom style="medium">
        <color indexed="64"/>
      </bottom>
      <diagonal/>
    </border>
    <border>
      <left style="thick">
        <color indexed="64"/>
      </left>
      <right style="medium">
        <color indexed="64"/>
      </right>
      <top/>
      <bottom/>
      <diagonal/>
    </border>
    <border>
      <left style="thick">
        <color indexed="64"/>
      </left>
      <right style="medium">
        <color indexed="64"/>
      </right>
      <top/>
      <bottom style="thick">
        <color indexed="64"/>
      </bottom>
      <diagonal/>
    </border>
    <border>
      <left style="medium">
        <color indexed="64"/>
      </left>
      <right style="medium">
        <color indexed="64"/>
      </right>
      <top/>
      <bottom style="thick">
        <color indexed="64"/>
      </bottom>
      <diagonal/>
    </border>
    <border>
      <left/>
      <right style="medium">
        <color indexed="64"/>
      </right>
      <top/>
      <bottom style="thick">
        <color indexed="64"/>
      </bottom>
      <diagonal/>
    </border>
    <border>
      <left/>
      <right style="thick">
        <color indexed="64"/>
      </right>
      <top/>
      <bottom style="thick">
        <color indexed="64"/>
      </bottom>
      <diagonal/>
    </border>
    <border>
      <left style="thick">
        <color indexed="64"/>
      </left>
      <right style="medium">
        <color indexed="64"/>
      </right>
      <top style="thick">
        <color indexed="64"/>
      </top>
      <bottom style="thick">
        <color indexed="64"/>
      </bottom>
      <diagonal/>
    </border>
    <border>
      <left style="medium">
        <color indexed="64"/>
      </left>
      <right/>
      <top style="thick">
        <color indexed="64"/>
      </top>
      <bottom style="thick">
        <color indexed="64"/>
      </bottom>
      <diagonal/>
    </border>
    <border>
      <left style="medium">
        <color indexed="64"/>
      </left>
      <right style="medium">
        <color indexed="64"/>
      </right>
      <top style="thick">
        <color indexed="64"/>
      </top>
      <bottom style="thick">
        <color indexed="64"/>
      </bottom>
      <diagonal/>
    </border>
    <border>
      <left style="medium">
        <color indexed="64"/>
      </left>
      <right style="thin">
        <color indexed="64"/>
      </right>
      <top style="thick">
        <color indexed="64"/>
      </top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 style="thick">
        <color indexed="64"/>
      </bottom>
      <diagonal/>
    </border>
    <border>
      <left style="thin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/>
      <right style="medium">
        <color indexed="64"/>
      </right>
      <top style="thick">
        <color indexed="64"/>
      </top>
      <bottom/>
      <diagonal/>
    </border>
    <border>
      <left/>
      <right style="thick">
        <color indexed="64"/>
      </right>
      <top style="thick">
        <color indexed="64"/>
      </top>
      <bottom/>
      <diagonal/>
    </border>
    <border>
      <left style="medium">
        <color indexed="64"/>
      </left>
      <right style="medium">
        <color indexed="64"/>
      </right>
      <top style="thick">
        <color indexed="64"/>
      </top>
      <bottom style="medium">
        <color indexed="64"/>
      </bottom>
      <diagonal/>
    </border>
    <border>
      <left/>
      <right style="medium">
        <color indexed="64"/>
      </right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/>
      <bottom style="medium">
        <color indexed="64"/>
      </bottom>
      <diagonal/>
    </border>
    <border>
      <left/>
      <right style="thick">
        <color indexed="64"/>
      </right>
      <top/>
      <bottom/>
      <diagonal/>
    </border>
    <border>
      <left/>
      <right style="thick">
        <color theme="4" tint="-0.24994659260841701"/>
      </right>
      <top style="thick">
        <color theme="4" tint="-0.24994659260841701"/>
      </top>
      <bottom style="medium">
        <color indexed="64"/>
      </bottom>
      <diagonal/>
    </border>
    <border>
      <left/>
      <right style="thick">
        <color theme="4" tint="-0.24994659260841701"/>
      </right>
      <top/>
      <bottom style="thick">
        <color theme="4" tint="-0.24994659260841701"/>
      </bottom>
      <diagonal/>
    </border>
    <border>
      <left style="thick">
        <color theme="4" tint="-0.24994659260841701"/>
      </left>
      <right style="medium">
        <color indexed="64"/>
      </right>
      <top style="thick">
        <color theme="4" tint="-0.24994659260841701"/>
      </top>
      <bottom/>
      <diagonal/>
    </border>
    <border>
      <left style="medium">
        <color indexed="64"/>
      </left>
      <right style="medium">
        <color indexed="64"/>
      </right>
      <top style="thick">
        <color theme="4" tint="-0.24994659260841701"/>
      </top>
      <bottom/>
      <diagonal/>
    </border>
    <border>
      <left style="medium">
        <color indexed="64"/>
      </left>
      <right style="medium">
        <color indexed="64"/>
      </right>
      <top style="thick">
        <color theme="4" tint="-0.24994659260841701"/>
      </top>
      <bottom style="medium">
        <color indexed="64"/>
      </bottom>
      <diagonal/>
    </border>
    <border>
      <left/>
      <right style="medium">
        <color indexed="64"/>
      </right>
      <top style="thick">
        <color theme="4" tint="-0.24994659260841701"/>
      </top>
      <bottom style="medium">
        <color indexed="64"/>
      </bottom>
      <diagonal/>
    </border>
    <border>
      <left style="thick">
        <color theme="4" tint="-0.24994659260841701"/>
      </left>
      <right style="medium">
        <color indexed="64"/>
      </right>
      <top/>
      <bottom style="thick">
        <color theme="4" tint="-0.24994659260841701"/>
      </bottom>
      <diagonal/>
    </border>
    <border>
      <left style="medium">
        <color indexed="64"/>
      </left>
      <right style="medium">
        <color indexed="64"/>
      </right>
      <top/>
      <bottom style="thick">
        <color theme="4" tint="-0.24994659260841701"/>
      </bottom>
      <diagonal/>
    </border>
    <border>
      <left/>
      <right style="medium">
        <color indexed="64"/>
      </right>
      <top/>
      <bottom style="thick">
        <color theme="4" tint="-0.24994659260841701"/>
      </bottom>
      <diagonal/>
    </border>
    <border>
      <left style="thick">
        <color theme="4" tint="-0.24994659260841701"/>
      </left>
      <right style="medium">
        <color indexed="64"/>
      </right>
      <top style="thick">
        <color theme="4" tint="-0.24994659260841701"/>
      </top>
      <bottom style="thick">
        <color theme="4" tint="-0.24994659260841701"/>
      </bottom>
      <diagonal/>
    </border>
    <border>
      <left/>
      <right style="medium">
        <color indexed="64"/>
      </right>
      <top style="thick">
        <color theme="4" tint="-0.24994659260841701"/>
      </top>
      <bottom style="thick">
        <color theme="4" tint="-0.24994659260841701"/>
      </bottom>
      <diagonal/>
    </border>
    <border>
      <left style="medium">
        <color indexed="64"/>
      </left>
      <right style="medium">
        <color indexed="64"/>
      </right>
      <top style="thick">
        <color theme="4" tint="-0.24994659260841701"/>
      </top>
      <bottom style="thick">
        <color theme="4" tint="-0.24994659260841701"/>
      </bottom>
      <diagonal/>
    </border>
    <border>
      <left/>
      <right style="thick">
        <color theme="4" tint="-0.24994659260841701"/>
      </right>
      <top style="thick">
        <color theme="4" tint="-0.24994659260841701"/>
      </top>
      <bottom style="thick">
        <color theme="4" tint="-0.24994659260841701"/>
      </bottom>
      <diagonal/>
    </border>
    <border>
      <left style="thick">
        <color theme="4" tint="-0.24994659260841701"/>
      </left>
      <right style="medium">
        <color indexed="64"/>
      </right>
      <top style="thick">
        <color theme="4" tint="-0.24994659260841701"/>
      </top>
      <bottom style="medium">
        <color indexed="64"/>
      </bottom>
      <diagonal/>
    </border>
    <border>
      <left style="medium">
        <color indexed="64"/>
      </left>
      <right style="thick">
        <color theme="4" tint="-0.24994659260841701"/>
      </right>
      <top style="thick">
        <color theme="4" tint="-0.24994659260841701"/>
      </top>
      <bottom style="medium">
        <color indexed="64"/>
      </bottom>
      <diagonal/>
    </border>
    <border>
      <left style="thick">
        <color theme="4" tint="-0.24994659260841701"/>
      </left>
      <right style="medium">
        <color indexed="64"/>
      </right>
      <top style="medium">
        <color indexed="64"/>
      </top>
      <bottom style="thick">
        <color theme="4" tint="-0.24994659260841701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ck">
        <color theme="4" tint="-0.24994659260841701"/>
      </bottom>
      <diagonal/>
    </border>
    <border>
      <left style="medium">
        <color indexed="64"/>
      </left>
      <right style="thick">
        <color theme="4" tint="-0.24994659260841701"/>
      </right>
      <top style="medium">
        <color indexed="64"/>
      </top>
      <bottom style="thick">
        <color theme="4" tint="-0.24994659260841701"/>
      </bottom>
      <diagonal/>
    </border>
    <border>
      <left/>
      <right style="thin">
        <color indexed="64"/>
      </right>
      <top style="thick">
        <color indexed="64"/>
      </top>
      <bottom style="thick">
        <color indexed="64"/>
      </bottom>
      <diagonal/>
    </border>
    <border>
      <left style="medium">
        <color indexed="64"/>
      </left>
      <right style="thick">
        <color indexed="64"/>
      </right>
      <top style="thick">
        <color indexed="64"/>
      </top>
      <bottom/>
      <diagonal/>
    </border>
    <border>
      <left style="medium">
        <color indexed="64"/>
      </left>
      <right style="thick">
        <color indexed="64"/>
      </right>
      <top/>
      <bottom/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 style="thin">
        <color indexed="64"/>
      </right>
      <top style="thick">
        <color indexed="64"/>
      </top>
      <bottom/>
      <diagonal/>
    </border>
    <border>
      <left style="thin">
        <color indexed="64"/>
      </left>
      <right style="thick">
        <color indexed="64"/>
      </right>
      <top style="thick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/>
      <bottom/>
      <diagonal/>
    </border>
    <border>
      <left style="thick">
        <color indexed="64"/>
      </left>
      <right style="thin">
        <color indexed="64"/>
      </right>
      <top/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ck">
        <color indexed="64"/>
      </bottom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/>
      <diagonal/>
    </border>
    <border>
      <left style="thick">
        <color indexed="64"/>
      </left>
      <right style="thick">
        <color indexed="64"/>
      </right>
      <top/>
      <bottom style="thick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n">
        <color indexed="64"/>
      </bottom>
      <diagonal/>
    </border>
    <border>
      <left style="thick">
        <color indexed="64"/>
      </left>
      <right style="thick">
        <color indexed="64"/>
      </right>
      <top style="thin">
        <color indexed="64"/>
      </top>
      <bottom/>
      <diagonal/>
    </border>
    <border>
      <left style="thick">
        <color indexed="64"/>
      </left>
      <right style="thick">
        <color indexed="64"/>
      </right>
      <top style="thin">
        <color indexed="64"/>
      </top>
      <bottom style="thick">
        <color indexed="64"/>
      </bottom>
      <diagonal/>
    </border>
    <border>
      <left style="thick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medium">
        <color indexed="64"/>
      </bottom>
      <diagonal/>
    </border>
    <border>
      <left style="thick">
        <color indexed="64"/>
      </left>
      <right style="thick">
        <color indexed="64"/>
      </right>
      <top style="medium">
        <color indexed="64"/>
      </top>
      <bottom/>
      <diagonal/>
    </border>
    <border>
      <left style="thick">
        <color indexed="64"/>
      </left>
      <right style="thick">
        <color indexed="64"/>
      </right>
      <top style="medium">
        <color indexed="64"/>
      </top>
      <bottom style="thick">
        <color indexed="64"/>
      </bottom>
      <diagonal/>
    </border>
    <border>
      <left style="thick">
        <color indexed="64"/>
      </left>
      <right style="thick">
        <color indexed="64"/>
      </right>
      <top style="medium">
        <color indexed="64"/>
      </top>
      <bottom style="medium">
        <color indexed="64"/>
      </bottom>
      <diagonal/>
    </border>
    <border>
      <left style="thick">
        <color indexed="64"/>
      </left>
      <right/>
      <top style="thick">
        <color indexed="64"/>
      </top>
      <bottom/>
      <diagonal/>
    </border>
    <border>
      <left style="thick">
        <color indexed="64"/>
      </left>
      <right/>
      <top/>
      <bottom style="thick">
        <color indexed="64"/>
      </bottom>
      <diagonal/>
    </border>
    <border>
      <left style="thin">
        <color indexed="64"/>
      </left>
      <right style="thick">
        <color indexed="64"/>
      </right>
      <top style="thick">
        <color indexed="64"/>
      </top>
      <bottom/>
      <diagonal/>
    </border>
    <border>
      <left style="thin">
        <color indexed="64"/>
      </left>
      <right style="thick">
        <color indexed="64"/>
      </right>
      <top/>
      <bottom style="thick">
        <color indexed="64"/>
      </bottom>
      <diagonal/>
    </border>
    <border>
      <left style="thin">
        <color indexed="64"/>
      </left>
      <right style="thick">
        <color indexed="64"/>
      </right>
      <top/>
      <bottom/>
      <diagonal/>
    </border>
    <border>
      <left/>
      <right/>
      <top style="thick">
        <color indexed="64"/>
      </top>
      <bottom style="thick">
        <color indexed="64"/>
      </bottom>
      <diagonal/>
    </border>
    <border>
      <left style="thick">
        <color indexed="64"/>
      </left>
      <right style="thick">
        <color indexed="64"/>
      </right>
      <top/>
      <bottom/>
      <diagonal/>
    </border>
    <border>
      <left/>
      <right style="medium">
        <color indexed="64"/>
      </right>
      <top style="medium">
        <color indexed="64"/>
      </top>
      <bottom style="thick">
        <color theme="4" tint="-0.24994659260841701"/>
      </bottom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/>
      <right style="medium">
        <color indexed="64"/>
      </right>
      <top style="thick">
        <color theme="4" tint="-0.24994659260841701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 diagonalUp="1">
      <left style="medium">
        <color indexed="64"/>
      </left>
      <right/>
      <top/>
      <bottom style="medium">
        <color indexed="64"/>
      </bottom>
      <diagonal style="medium">
        <color theme="2" tint="-9.9948118533890809E-2"/>
      </diagonal>
    </border>
    <border diagonalUp="1">
      <left style="medium">
        <color indexed="64"/>
      </left>
      <right/>
      <top/>
      <bottom/>
      <diagonal style="medium">
        <color theme="2" tint="-9.9948118533890809E-2"/>
      </diagonal>
    </border>
    <border>
      <left style="medium">
        <color indexed="64"/>
      </left>
      <right/>
      <top/>
      <bottom style="thick">
        <color indexed="64"/>
      </bottom>
      <diagonal/>
    </border>
    <border>
      <left/>
      <right/>
      <top/>
      <bottom style="thick">
        <color indexed="64"/>
      </bottom>
      <diagonal/>
    </border>
    <border>
      <left style="thick">
        <color indexed="64"/>
      </left>
      <right/>
      <top/>
      <bottom/>
      <diagonal/>
    </border>
    <border>
      <left style="medium">
        <color indexed="64"/>
      </left>
      <right/>
      <top style="thick">
        <color indexed="64"/>
      </top>
      <bottom/>
      <diagonal/>
    </border>
    <border>
      <left/>
      <right/>
      <top style="thick">
        <color indexed="64"/>
      </top>
      <bottom/>
      <diagonal/>
    </border>
    <border>
      <left style="thin">
        <color indexed="64"/>
      </left>
      <right style="thin">
        <color indexed="64"/>
      </right>
      <top style="thick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ck">
        <color indexed="64"/>
      </bottom>
      <diagonal/>
    </border>
    <border>
      <left style="thick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ck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ck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ck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ck">
        <color theme="4" tint="-0.24994659260841701"/>
      </top>
      <bottom style="thick">
        <color theme="4" tint="-0.24994659260841701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ck">
        <color indexed="64"/>
      </left>
      <right style="medium">
        <color indexed="64"/>
      </right>
      <top/>
      <bottom style="medium">
        <color indexed="64"/>
      </bottom>
      <diagonal/>
    </border>
    <border>
      <left style="thick">
        <color indexed="64"/>
      </left>
      <right style="medium">
        <color indexed="64"/>
      </right>
      <top style="medium">
        <color indexed="64"/>
      </top>
      <bottom style="thick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ck">
        <color theme="4" tint="-0.24994659260841701"/>
      </right>
      <top style="thick">
        <color theme="4" tint="-0.24994659260841701"/>
      </top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 diagonalUp="1">
      <left style="medium">
        <color indexed="64"/>
      </left>
      <right style="medium">
        <color indexed="64"/>
      </right>
      <top/>
      <bottom/>
      <diagonal style="medium">
        <color theme="2" tint="-9.9948118533890809E-2"/>
      </diagonal>
    </border>
    <border diagonalUp="1">
      <left style="medium">
        <color indexed="64"/>
      </left>
      <right style="medium">
        <color indexed="64"/>
      </right>
      <top style="medium">
        <color indexed="64"/>
      </top>
      <bottom/>
      <diagonal style="medium">
        <color theme="2" tint="-9.9948118533890809E-2"/>
      </diagonal>
    </border>
    <border diagonalUp="1">
      <left style="medium">
        <color indexed="64"/>
      </left>
      <right style="medium">
        <color indexed="64"/>
      </right>
      <top/>
      <bottom style="medium">
        <color indexed="64"/>
      </bottom>
      <diagonal style="medium">
        <color theme="2" tint="-9.9948118533890809E-2"/>
      </diagonal>
    </border>
    <border>
      <left/>
      <right style="thin">
        <color indexed="64"/>
      </right>
      <top/>
      <bottom style="thick">
        <color indexed="64"/>
      </bottom>
      <diagonal/>
    </border>
    <border diagonalUp="1">
      <left style="medium">
        <color indexed="64"/>
      </left>
      <right style="medium">
        <color indexed="64"/>
      </right>
      <top style="medium">
        <color indexed="64"/>
      </top>
      <bottom/>
      <diagonal style="thin">
        <color indexed="64"/>
      </diagonal>
    </border>
    <border diagonalUp="1">
      <left style="medium">
        <color indexed="64"/>
      </left>
      <right style="medium">
        <color indexed="64"/>
      </right>
      <top/>
      <bottom style="medium">
        <color indexed="64"/>
      </bottom>
      <diagonal style="thin">
        <color indexed="64"/>
      </diagonal>
    </border>
    <border>
      <left style="medium">
        <color indexed="64"/>
      </left>
      <right style="thick">
        <color indexed="64"/>
      </right>
      <top style="thin">
        <color indexed="64"/>
      </top>
      <bottom style="thick">
        <color indexed="64"/>
      </bottom>
      <diagonal/>
    </border>
  </borders>
  <cellStyleXfs count="2">
    <xf numFmtId="0" fontId="0" fillId="0" borderId="0"/>
    <xf numFmtId="0" fontId="24" fillId="0" borderId="0" applyNumberFormat="0" applyFill="0" applyBorder="0" applyAlignment="0" applyProtection="0"/>
  </cellStyleXfs>
  <cellXfs count="652">
    <xf numFmtId="0" fontId="0" fillId="0" borderId="0" xfId="0"/>
    <xf numFmtId="0" fontId="1" fillId="0" borderId="5" xfId="0" applyFont="1" applyBorder="1" applyAlignment="1">
      <alignment horizontal="justify" vertical="center" wrapText="1"/>
    </xf>
    <xf numFmtId="0" fontId="1" fillId="0" borderId="7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0" fillId="0" borderId="10" xfId="0" applyBorder="1"/>
    <xf numFmtId="0" fontId="0" fillId="0" borderId="0" xfId="0" applyAlignment="1">
      <alignment horizontal="center"/>
    </xf>
    <xf numFmtId="0" fontId="1" fillId="0" borderId="5" xfId="0" applyFont="1" applyBorder="1" applyAlignment="1">
      <alignment horizontal="left" vertical="center" wrapText="1"/>
    </xf>
    <xf numFmtId="0" fontId="1" fillId="0" borderId="0" xfId="0" applyFont="1" applyAlignment="1">
      <alignment horizontal="left" vertical="center" wrapText="1"/>
    </xf>
    <xf numFmtId="164" fontId="1" fillId="0" borderId="5" xfId="0" applyNumberFormat="1" applyFont="1" applyBorder="1" applyAlignment="1">
      <alignment horizontal="right" vertical="center" wrapText="1"/>
    </xf>
    <xf numFmtId="0" fontId="2" fillId="0" borderId="0" xfId="0" applyFont="1" applyAlignment="1">
      <alignment horizontal="center" vertical="center" wrapText="1"/>
    </xf>
    <xf numFmtId="164" fontId="1" fillId="0" borderId="0" xfId="0" applyNumberFormat="1" applyFont="1" applyAlignment="1">
      <alignment horizontal="right" vertical="center" wrapText="1"/>
    </xf>
    <xf numFmtId="0" fontId="1" fillId="0" borderId="14" xfId="0" applyFont="1" applyBorder="1" applyAlignment="1">
      <alignment horizontal="justify" vertical="center" wrapText="1"/>
    </xf>
    <xf numFmtId="0" fontId="1" fillId="0" borderId="14" xfId="0" applyFont="1" applyBorder="1" applyAlignment="1">
      <alignment horizontal="center" vertical="center" wrapText="1"/>
    </xf>
    <xf numFmtId="164" fontId="1" fillId="0" borderId="14" xfId="0" applyNumberFormat="1" applyFont="1" applyBorder="1" applyAlignment="1">
      <alignment horizontal="right" vertical="center" wrapText="1"/>
    </xf>
    <xf numFmtId="164" fontId="1" fillId="0" borderId="15" xfId="0" applyNumberFormat="1" applyFont="1" applyBorder="1" applyAlignment="1">
      <alignment horizontal="right" vertical="center" wrapText="1"/>
    </xf>
    <xf numFmtId="0" fontId="1" fillId="0" borderId="19" xfId="0" applyFont="1" applyBorder="1" applyAlignment="1">
      <alignment horizontal="left" vertical="center" wrapText="1"/>
    </xf>
    <xf numFmtId="0" fontId="1" fillId="0" borderId="19" xfId="0" applyFont="1" applyBorder="1" applyAlignment="1">
      <alignment horizontal="center" vertical="center" wrapText="1"/>
    </xf>
    <xf numFmtId="164" fontId="1" fillId="0" borderId="19" xfId="0" applyNumberFormat="1" applyFont="1" applyBorder="1" applyAlignment="1">
      <alignment horizontal="right" vertical="center" wrapText="1"/>
    </xf>
    <xf numFmtId="164" fontId="1" fillId="0" borderId="20" xfId="0" applyNumberFormat="1" applyFont="1" applyBorder="1" applyAlignment="1">
      <alignment horizontal="right" vertical="center" wrapText="1"/>
    </xf>
    <xf numFmtId="0" fontId="1" fillId="0" borderId="19" xfId="0" applyFont="1" applyBorder="1" applyAlignment="1">
      <alignment horizontal="justify" vertical="center" wrapText="1"/>
    </xf>
    <xf numFmtId="0" fontId="1" fillId="0" borderId="30" xfId="0" applyFont="1" applyBorder="1" applyAlignment="1">
      <alignment horizontal="justify" vertical="center" wrapText="1"/>
    </xf>
    <xf numFmtId="0" fontId="1" fillId="0" borderId="30" xfId="0" applyFont="1" applyBorder="1" applyAlignment="1">
      <alignment horizontal="center" vertical="center" wrapText="1"/>
    </xf>
    <xf numFmtId="164" fontId="1" fillId="0" borderId="30" xfId="0" applyNumberFormat="1" applyFont="1" applyBorder="1" applyAlignment="1">
      <alignment horizontal="right" vertical="center" wrapText="1"/>
    </xf>
    <xf numFmtId="164" fontId="1" fillId="0" borderId="31" xfId="0" applyNumberFormat="1" applyFont="1" applyBorder="1" applyAlignment="1">
      <alignment horizontal="right" vertical="center" wrapText="1"/>
    </xf>
    <xf numFmtId="0" fontId="1" fillId="0" borderId="30" xfId="0" applyFont="1" applyBorder="1" applyAlignment="1">
      <alignment horizontal="left" vertical="center" wrapText="1"/>
    </xf>
    <xf numFmtId="0" fontId="1" fillId="0" borderId="14" xfId="0" applyFont="1" applyBorder="1" applyAlignment="1">
      <alignment horizontal="left" vertical="center" wrapText="1"/>
    </xf>
    <xf numFmtId="164" fontId="1" fillId="0" borderId="32" xfId="0" applyNumberFormat="1" applyFont="1" applyBorder="1" applyAlignment="1">
      <alignment horizontal="right" vertical="center" wrapText="1"/>
    </xf>
    <xf numFmtId="0" fontId="1" fillId="0" borderId="7" xfId="0" applyFont="1" applyBorder="1" applyAlignment="1">
      <alignment horizontal="left" vertical="center" wrapText="1"/>
    </xf>
    <xf numFmtId="164" fontId="1" fillId="0" borderId="7" xfId="0" applyNumberFormat="1" applyFont="1" applyBorder="1" applyAlignment="1">
      <alignment horizontal="right" vertical="center" wrapText="1"/>
    </xf>
    <xf numFmtId="0" fontId="1" fillId="0" borderId="27" xfId="0" applyFont="1" applyBorder="1" applyAlignment="1">
      <alignment horizontal="left" vertical="center" wrapText="1"/>
    </xf>
    <xf numFmtId="0" fontId="1" fillId="0" borderId="27" xfId="0" applyFont="1" applyBorder="1" applyAlignment="1">
      <alignment horizontal="center" vertical="center" wrapText="1"/>
    </xf>
    <xf numFmtId="164" fontId="1" fillId="0" borderId="27" xfId="0" applyNumberFormat="1" applyFont="1" applyBorder="1" applyAlignment="1">
      <alignment horizontal="right" vertical="center" wrapText="1"/>
    </xf>
    <xf numFmtId="164" fontId="1" fillId="0" borderId="28" xfId="0" applyNumberFormat="1" applyFont="1" applyBorder="1" applyAlignment="1">
      <alignment horizontal="right" vertical="center" wrapText="1"/>
    </xf>
    <xf numFmtId="164" fontId="1" fillId="0" borderId="33" xfId="0" applyNumberFormat="1" applyFont="1" applyBorder="1" applyAlignment="1">
      <alignment horizontal="right" vertical="center" wrapText="1"/>
    </xf>
    <xf numFmtId="164" fontId="1" fillId="0" borderId="34" xfId="0" applyNumberFormat="1" applyFont="1" applyBorder="1" applyAlignment="1">
      <alignment horizontal="right" vertical="center" wrapText="1"/>
    </xf>
    <xf numFmtId="164" fontId="1" fillId="0" borderId="35" xfId="0" applyNumberFormat="1" applyFont="1" applyBorder="1" applyAlignment="1">
      <alignment horizontal="right" vertical="center" wrapText="1"/>
    </xf>
    <xf numFmtId="0" fontId="1" fillId="0" borderId="39" xfId="0" applyFont="1" applyBorder="1" applyAlignment="1">
      <alignment horizontal="left" vertical="center" wrapText="1"/>
    </xf>
    <xf numFmtId="0" fontId="1" fillId="0" borderId="39" xfId="0" applyFont="1" applyBorder="1" applyAlignment="1">
      <alignment horizontal="center" vertical="center" wrapText="1"/>
    </xf>
    <xf numFmtId="164" fontId="1" fillId="0" borderId="39" xfId="0" applyNumberFormat="1" applyFont="1" applyBorder="1" applyAlignment="1">
      <alignment horizontal="right" vertical="center" wrapText="1"/>
    </xf>
    <xf numFmtId="0" fontId="1" fillId="0" borderId="42" xfId="0" applyFont="1" applyBorder="1" applyAlignment="1">
      <alignment horizontal="left" vertical="center" wrapText="1"/>
    </xf>
    <xf numFmtId="0" fontId="1" fillId="0" borderId="42" xfId="0" applyFont="1" applyBorder="1" applyAlignment="1">
      <alignment horizontal="center" vertical="center" wrapText="1"/>
    </xf>
    <xf numFmtId="164" fontId="1" fillId="0" borderId="42" xfId="0" applyNumberFormat="1" applyFont="1" applyBorder="1" applyAlignment="1">
      <alignment horizontal="right" vertical="center" wrapText="1"/>
    </xf>
    <xf numFmtId="0" fontId="1" fillId="0" borderId="43" xfId="0" applyFont="1" applyBorder="1" applyAlignment="1">
      <alignment horizontal="center" vertical="center" wrapText="1"/>
    </xf>
    <xf numFmtId="0" fontId="1" fillId="0" borderId="44" xfId="0" applyFont="1" applyBorder="1" applyAlignment="1">
      <alignment horizontal="left" vertical="center" wrapText="1"/>
    </xf>
    <xf numFmtId="0" fontId="1" fillId="0" borderId="44" xfId="0" applyFont="1" applyBorder="1" applyAlignment="1">
      <alignment horizontal="center" vertical="center" wrapText="1"/>
    </xf>
    <xf numFmtId="164" fontId="1" fillId="0" borderId="44" xfId="0" applyNumberFormat="1" applyFont="1" applyBorder="1" applyAlignment="1">
      <alignment horizontal="right" vertical="center" wrapText="1"/>
    </xf>
    <xf numFmtId="164" fontId="1" fillId="0" borderId="46" xfId="0" applyNumberFormat="1" applyFont="1" applyBorder="1" applyAlignment="1">
      <alignment horizontal="right" vertical="center" wrapText="1"/>
    </xf>
    <xf numFmtId="0" fontId="1" fillId="0" borderId="38" xfId="0" applyFont="1" applyBorder="1" applyAlignment="1">
      <alignment horizontal="center" vertical="center" wrapText="1"/>
    </xf>
    <xf numFmtId="164" fontId="1" fillId="0" borderId="38" xfId="0" applyNumberFormat="1" applyFont="1" applyBorder="1" applyAlignment="1">
      <alignment horizontal="right" vertical="center" wrapText="1"/>
    </xf>
    <xf numFmtId="164" fontId="1" fillId="0" borderId="48" xfId="0" applyNumberFormat="1" applyFont="1" applyBorder="1" applyAlignment="1">
      <alignment horizontal="right" vertical="center" wrapText="1"/>
    </xf>
    <xf numFmtId="0" fontId="1" fillId="0" borderId="50" xfId="0" applyFont="1" applyBorder="1" applyAlignment="1">
      <alignment horizontal="center" vertical="center" wrapText="1"/>
    </xf>
    <xf numFmtId="164" fontId="1" fillId="0" borderId="50" xfId="0" applyNumberFormat="1" applyFont="1" applyBorder="1" applyAlignment="1">
      <alignment vertical="center" wrapText="1"/>
    </xf>
    <xf numFmtId="164" fontId="1" fillId="0" borderId="51" xfId="0" applyNumberFormat="1" applyFont="1" applyBorder="1" applyAlignment="1">
      <alignment vertical="center" wrapText="1"/>
    </xf>
    <xf numFmtId="0" fontId="6" fillId="0" borderId="0" xfId="0" applyFont="1" applyAlignment="1">
      <alignment vertical="center"/>
    </xf>
    <xf numFmtId="0" fontId="0" fillId="0" borderId="0" xfId="0" applyAlignment="1">
      <alignment horizontal="left" indent="2"/>
    </xf>
    <xf numFmtId="0" fontId="1" fillId="0" borderId="6" xfId="0" applyFont="1" applyBorder="1" applyAlignment="1">
      <alignment horizontal="center" vertical="center" wrapText="1"/>
    </xf>
    <xf numFmtId="164" fontId="1" fillId="0" borderId="6" xfId="0" applyNumberFormat="1" applyFont="1" applyBorder="1" applyAlignment="1">
      <alignment horizontal="right" vertical="center" wrapText="1"/>
    </xf>
    <xf numFmtId="164" fontId="1" fillId="0" borderId="54" xfId="0" applyNumberFormat="1" applyFont="1" applyBorder="1" applyAlignment="1">
      <alignment horizontal="right" vertical="center" wrapText="1"/>
    </xf>
    <xf numFmtId="0" fontId="0" fillId="0" borderId="0" xfId="0" applyAlignment="1">
      <alignment horizontal="center" vertical="center" wrapText="1"/>
    </xf>
    <xf numFmtId="0" fontId="9" fillId="0" borderId="14" xfId="0" applyFont="1" applyBorder="1" applyAlignment="1">
      <alignment horizontal="center" vertical="center" wrapText="1"/>
    </xf>
    <xf numFmtId="0" fontId="9" fillId="0" borderId="19" xfId="0" applyFont="1" applyBorder="1" applyAlignment="1">
      <alignment horizontal="center" vertical="center" wrapText="1"/>
    </xf>
    <xf numFmtId="164" fontId="5" fillId="0" borderId="69" xfId="0" applyNumberFormat="1" applyFont="1" applyBorder="1" applyAlignment="1">
      <alignment horizontal="right" vertical="center"/>
    </xf>
    <xf numFmtId="164" fontId="5" fillId="0" borderId="71" xfId="0" applyNumberFormat="1" applyFont="1" applyBorder="1" applyAlignment="1">
      <alignment horizontal="right" vertical="center"/>
    </xf>
    <xf numFmtId="164" fontId="5" fillId="0" borderId="55" xfId="0" applyNumberFormat="1" applyFont="1" applyBorder="1" applyAlignment="1">
      <alignment horizontal="right" vertical="center"/>
    </xf>
    <xf numFmtId="164" fontId="5" fillId="0" borderId="72" xfId="0" applyNumberFormat="1" applyFont="1" applyBorder="1" applyAlignment="1">
      <alignment horizontal="right" vertical="center"/>
    </xf>
    <xf numFmtId="165" fontId="1" fillId="0" borderId="73" xfId="0" applyNumberFormat="1" applyFont="1" applyBorder="1" applyAlignment="1">
      <alignment horizontal="right" vertical="center" wrapText="1"/>
    </xf>
    <xf numFmtId="165" fontId="1" fillId="4" borderId="74" xfId="0" applyNumberFormat="1" applyFont="1" applyFill="1" applyBorder="1" applyAlignment="1">
      <alignment horizontal="center" vertical="center" wrapText="1"/>
    </xf>
    <xf numFmtId="165" fontId="1" fillId="4" borderId="75" xfId="0" applyNumberFormat="1" applyFont="1" applyFill="1" applyBorder="1" applyAlignment="1">
      <alignment horizontal="center" vertical="center" wrapText="1"/>
    </xf>
    <xf numFmtId="165" fontId="1" fillId="0" borderId="75" xfId="0" applyNumberFormat="1" applyFont="1" applyBorder="1" applyAlignment="1">
      <alignment horizontal="right" vertical="center" wrapText="1"/>
    </xf>
    <xf numFmtId="166" fontId="1" fillId="0" borderId="55" xfId="0" applyNumberFormat="1" applyFont="1" applyBorder="1" applyAlignment="1">
      <alignment horizontal="right" vertical="center" wrapText="1"/>
    </xf>
    <xf numFmtId="165" fontId="1" fillId="0" borderId="55" xfId="0" applyNumberFormat="1" applyFont="1" applyBorder="1" applyAlignment="1">
      <alignment horizontal="right" vertical="center" wrapText="1"/>
    </xf>
    <xf numFmtId="165" fontId="1" fillId="4" borderId="73" xfId="0" applyNumberFormat="1" applyFont="1" applyFill="1" applyBorder="1" applyAlignment="1">
      <alignment horizontal="center" vertical="center" wrapText="1"/>
    </xf>
    <xf numFmtId="165" fontId="1" fillId="4" borderId="76" xfId="0" applyNumberFormat="1" applyFont="1" applyFill="1" applyBorder="1" applyAlignment="1">
      <alignment horizontal="center" vertical="center" wrapText="1"/>
    </xf>
    <xf numFmtId="165" fontId="1" fillId="0" borderId="76" xfId="0" applyNumberFormat="1" applyFont="1" applyBorder="1" applyAlignment="1">
      <alignment horizontal="right" vertical="center" wrapText="1"/>
    </xf>
    <xf numFmtId="165" fontId="1" fillId="4" borderId="55" xfId="0" applyNumberFormat="1" applyFont="1" applyFill="1" applyBorder="1" applyAlignment="1">
      <alignment horizontal="center" vertical="center" wrapText="1"/>
    </xf>
    <xf numFmtId="0" fontId="0" fillId="0" borderId="57" xfId="0" applyBorder="1" applyAlignment="1">
      <alignment vertical="center" wrapText="1"/>
    </xf>
    <xf numFmtId="0" fontId="0" fillId="0" borderId="66" xfId="0" applyBorder="1" applyAlignment="1">
      <alignment vertical="center" wrapText="1"/>
    </xf>
    <xf numFmtId="0" fontId="0" fillId="0" borderId="61" xfId="0" applyBorder="1" applyAlignment="1">
      <alignment vertical="center" wrapText="1"/>
    </xf>
    <xf numFmtId="0" fontId="0" fillId="0" borderId="64" xfId="0" applyBorder="1" applyAlignment="1">
      <alignment vertical="center" wrapText="1"/>
    </xf>
    <xf numFmtId="0" fontId="0" fillId="0" borderId="26" xfId="0" applyBorder="1" applyAlignment="1">
      <alignment vertical="center" wrapText="1"/>
    </xf>
    <xf numFmtId="0" fontId="0" fillId="0" borderId="57" xfId="0" applyBorder="1" applyAlignment="1">
      <alignment horizontal="left" vertical="center" wrapText="1"/>
    </xf>
    <xf numFmtId="0" fontId="0" fillId="0" borderId="66" xfId="0" applyBorder="1" applyAlignment="1">
      <alignment horizontal="left" vertical="center" wrapText="1"/>
    </xf>
    <xf numFmtId="0" fontId="0" fillId="0" borderId="61" xfId="0" applyBorder="1" applyAlignment="1">
      <alignment vertical="center"/>
    </xf>
    <xf numFmtId="0" fontId="12" fillId="0" borderId="61" xfId="0" applyFont="1" applyBorder="1" applyAlignment="1">
      <alignment vertical="center" wrapText="1"/>
    </xf>
    <xf numFmtId="0" fontId="1" fillId="0" borderId="55" xfId="0" applyFont="1" applyBorder="1" applyAlignment="1">
      <alignment horizontal="left" vertical="center" wrapText="1"/>
    </xf>
    <xf numFmtId="0" fontId="1" fillId="0" borderId="84" xfId="0" applyFont="1" applyBorder="1" applyAlignment="1">
      <alignment vertical="center" wrapText="1"/>
    </xf>
    <xf numFmtId="0" fontId="5" fillId="4" borderId="55" xfId="0" applyFont="1" applyFill="1" applyBorder="1" applyAlignment="1">
      <alignment vertical="center" wrapText="1"/>
    </xf>
    <xf numFmtId="0" fontId="5" fillId="4" borderId="31" xfId="0" applyFont="1" applyFill="1" applyBorder="1" applyAlignment="1">
      <alignment vertical="center" wrapText="1"/>
    </xf>
    <xf numFmtId="0" fontId="5" fillId="4" borderId="55" xfId="0" applyFont="1" applyFill="1" applyBorder="1" applyAlignment="1">
      <alignment horizontal="center" vertical="center"/>
    </xf>
    <xf numFmtId="0" fontId="9" fillId="0" borderId="30" xfId="0" applyFont="1" applyBorder="1" applyAlignment="1">
      <alignment horizontal="center" vertical="center" wrapText="1"/>
    </xf>
    <xf numFmtId="0" fontId="5" fillId="4" borderId="55" xfId="0" applyFont="1" applyFill="1" applyBorder="1" applyAlignment="1">
      <alignment horizontal="center" vertical="center" wrapText="1"/>
    </xf>
    <xf numFmtId="0" fontId="1" fillId="3" borderId="27" xfId="0" applyFont="1" applyFill="1" applyBorder="1" applyAlignment="1">
      <alignment horizontal="justify" vertical="center" wrapText="1"/>
    </xf>
    <xf numFmtId="0" fontId="1" fillId="3" borderId="27" xfId="0" applyFont="1" applyFill="1" applyBorder="1" applyAlignment="1">
      <alignment horizontal="center" vertical="center" wrapText="1"/>
    </xf>
    <xf numFmtId="164" fontId="1" fillId="3" borderId="27" xfId="0" applyNumberFormat="1" applyFont="1" applyFill="1" applyBorder="1" applyAlignment="1">
      <alignment horizontal="right" vertical="center" wrapText="1"/>
    </xf>
    <xf numFmtId="164" fontId="1" fillId="3" borderId="28" xfId="0" applyNumberFormat="1" applyFont="1" applyFill="1" applyBorder="1" applyAlignment="1">
      <alignment horizontal="right" vertical="center" wrapText="1"/>
    </xf>
    <xf numFmtId="0" fontId="1" fillId="3" borderId="7" xfId="0" applyFont="1" applyFill="1" applyBorder="1" applyAlignment="1">
      <alignment horizontal="justify" vertical="center" wrapText="1"/>
    </xf>
    <xf numFmtId="0" fontId="1" fillId="3" borderId="6" xfId="0" applyFont="1" applyFill="1" applyBorder="1" applyAlignment="1">
      <alignment horizontal="center" vertical="center" wrapText="1"/>
    </xf>
    <xf numFmtId="164" fontId="1" fillId="3" borderId="6" xfId="0" applyNumberFormat="1" applyFont="1" applyFill="1" applyBorder="1" applyAlignment="1">
      <alignment horizontal="right" vertical="center" wrapText="1"/>
    </xf>
    <xf numFmtId="164" fontId="1" fillId="3" borderId="54" xfId="0" applyNumberFormat="1" applyFont="1" applyFill="1" applyBorder="1" applyAlignment="1">
      <alignment horizontal="right" vertical="center" wrapText="1"/>
    </xf>
    <xf numFmtId="0" fontId="1" fillId="3" borderId="19" xfId="0" applyFont="1" applyFill="1" applyBorder="1" applyAlignment="1">
      <alignment horizontal="left" vertical="center" wrapText="1"/>
    </xf>
    <xf numFmtId="0" fontId="1" fillId="3" borderId="19" xfId="0" applyFont="1" applyFill="1" applyBorder="1" applyAlignment="1">
      <alignment horizontal="center" vertical="center" wrapText="1"/>
    </xf>
    <xf numFmtId="164" fontId="1" fillId="3" borderId="19" xfId="0" applyNumberFormat="1" applyFont="1" applyFill="1" applyBorder="1" applyAlignment="1">
      <alignment horizontal="right" vertical="center" wrapText="1"/>
    </xf>
    <xf numFmtId="164" fontId="1" fillId="3" borderId="20" xfId="0" applyNumberFormat="1" applyFont="1" applyFill="1" applyBorder="1" applyAlignment="1">
      <alignment horizontal="right" vertical="center" wrapText="1"/>
    </xf>
    <xf numFmtId="0" fontId="1" fillId="3" borderId="14" xfId="0" applyFont="1" applyFill="1" applyBorder="1" applyAlignment="1">
      <alignment horizontal="justify" vertical="center" wrapText="1"/>
    </xf>
    <xf numFmtId="0" fontId="1" fillId="3" borderId="14" xfId="0" applyFont="1" applyFill="1" applyBorder="1" applyAlignment="1">
      <alignment horizontal="center" vertical="center" wrapText="1"/>
    </xf>
    <xf numFmtId="164" fontId="1" fillId="3" borderId="14" xfId="0" applyNumberFormat="1" applyFont="1" applyFill="1" applyBorder="1" applyAlignment="1">
      <alignment horizontal="right" vertical="center" wrapText="1"/>
    </xf>
    <xf numFmtId="164" fontId="1" fillId="3" borderId="15" xfId="0" applyNumberFormat="1" applyFont="1" applyFill="1" applyBorder="1" applyAlignment="1">
      <alignment horizontal="right" vertical="center" wrapText="1"/>
    </xf>
    <xf numFmtId="0" fontId="1" fillId="3" borderId="55" xfId="0" applyFont="1" applyFill="1" applyBorder="1" applyAlignment="1">
      <alignment horizontal="justify" vertical="center" wrapText="1"/>
    </xf>
    <xf numFmtId="0" fontId="1" fillId="3" borderId="30" xfId="0" applyFont="1" applyFill="1" applyBorder="1" applyAlignment="1">
      <alignment horizontal="justify" vertical="center" wrapText="1"/>
    </xf>
    <xf numFmtId="0" fontId="9" fillId="3" borderId="30" xfId="0" applyFont="1" applyFill="1" applyBorder="1" applyAlignment="1">
      <alignment horizontal="center" vertical="center" wrapText="1"/>
    </xf>
    <xf numFmtId="164" fontId="1" fillId="3" borderId="30" xfId="0" applyNumberFormat="1" applyFont="1" applyFill="1" applyBorder="1" applyAlignment="1">
      <alignment horizontal="right" vertical="center" wrapText="1"/>
    </xf>
    <xf numFmtId="164" fontId="1" fillId="3" borderId="31" xfId="0" applyNumberFormat="1" applyFont="1" applyFill="1" applyBorder="1" applyAlignment="1">
      <alignment horizontal="right" vertical="center" wrapText="1"/>
    </xf>
    <xf numFmtId="0" fontId="5" fillId="0" borderId="0" xfId="0" applyFont="1"/>
    <xf numFmtId="0" fontId="1" fillId="3" borderId="55" xfId="0" applyFont="1" applyFill="1" applyBorder="1" applyAlignment="1">
      <alignment horizontal="center" vertical="center" wrapText="1"/>
    </xf>
    <xf numFmtId="49" fontId="0" fillId="0" borderId="0" xfId="0" applyNumberFormat="1"/>
    <xf numFmtId="49" fontId="0" fillId="0" borderId="0" xfId="0" quotePrefix="1" applyNumberFormat="1" applyAlignment="1">
      <alignment horizontal="left"/>
    </xf>
    <xf numFmtId="0" fontId="0" fillId="0" borderId="0" xfId="0" quotePrefix="1" applyAlignment="1">
      <alignment vertical="center"/>
    </xf>
    <xf numFmtId="0" fontId="2" fillId="2" borderId="17" xfId="0" applyFont="1" applyFill="1" applyBorder="1" applyAlignment="1">
      <alignment horizontal="center" vertical="center" wrapText="1"/>
    </xf>
    <xf numFmtId="0" fontId="2" fillId="2" borderId="18" xfId="0" applyFont="1" applyFill="1" applyBorder="1" applyAlignment="1">
      <alignment horizontal="center" vertical="center" wrapText="1"/>
    </xf>
    <xf numFmtId="0" fontId="1" fillId="0" borderId="13" xfId="0" applyFont="1" applyBorder="1" applyAlignment="1">
      <alignment horizontal="left" vertical="center" wrapText="1"/>
    </xf>
    <xf numFmtId="0" fontId="1" fillId="0" borderId="6" xfId="0" applyFont="1" applyBorder="1" applyAlignment="1">
      <alignment horizontal="left" vertical="center" wrapText="1"/>
    </xf>
    <xf numFmtId="0" fontId="1" fillId="0" borderId="18" xfId="0" applyFont="1" applyBorder="1" applyAlignment="1">
      <alignment horizontal="left" vertical="center" wrapText="1"/>
    </xf>
    <xf numFmtId="0" fontId="1" fillId="0" borderId="41" xfId="0" applyFont="1" applyBorder="1" applyAlignment="1">
      <alignment horizontal="left" vertical="center" wrapText="1"/>
    </xf>
    <xf numFmtId="0" fontId="1" fillId="0" borderId="13" xfId="0" applyFont="1" applyBorder="1" applyAlignment="1">
      <alignment horizontal="justify" vertical="center" wrapText="1"/>
    </xf>
    <xf numFmtId="0" fontId="1" fillId="0" borderId="6" xfId="0" applyFont="1" applyBorder="1" applyAlignment="1">
      <alignment horizontal="justify" vertical="center" wrapText="1"/>
    </xf>
    <xf numFmtId="0" fontId="1" fillId="0" borderId="18" xfId="0" applyFont="1" applyBorder="1" applyAlignment="1">
      <alignment horizontal="justify" vertical="center" wrapText="1"/>
    </xf>
    <xf numFmtId="0" fontId="1" fillId="0" borderId="23" xfId="0" applyFont="1" applyBorder="1" applyAlignment="1">
      <alignment horizontal="justify" vertical="center" wrapText="1"/>
    </xf>
    <xf numFmtId="0" fontId="1" fillId="0" borderId="86" xfId="0" applyFont="1" applyBorder="1" applyAlignment="1">
      <alignment horizontal="center" vertical="center" wrapText="1"/>
    </xf>
    <xf numFmtId="168" fontId="0" fillId="0" borderId="87" xfId="0" applyNumberFormat="1" applyBorder="1" applyAlignment="1">
      <alignment horizontal="right" vertical="center"/>
    </xf>
    <xf numFmtId="169" fontId="0" fillId="0" borderId="88" xfId="0" applyNumberFormat="1" applyBorder="1" applyAlignment="1">
      <alignment vertical="center"/>
    </xf>
    <xf numFmtId="164" fontId="0" fillId="0" borderId="89" xfId="0" applyNumberFormat="1" applyBorder="1" applyAlignment="1">
      <alignment vertical="center"/>
    </xf>
    <xf numFmtId="169" fontId="0" fillId="0" borderId="0" xfId="0" applyNumberFormat="1" applyAlignment="1">
      <alignment vertical="center"/>
    </xf>
    <xf numFmtId="164" fontId="0" fillId="0" borderId="7" xfId="0" applyNumberFormat="1" applyBorder="1" applyAlignment="1">
      <alignment vertical="center"/>
    </xf>
    <xf numFmtId="0" fontId="0" fillId="0" borderId="90" xfId="0" applyBorder="1"/>
    <xf numFmtId="169" fontId="0" fillId="0" borderId="91" xfId="0" applyNumberFormat="1" applyBorder="1" applyAlignment="1">
      <alignment vertical="center"/>
    </xf>
    <xf numFmtId="164" fontId="0" fillId="0" borderId="5" xfId="0" applyNumberFormat="1" applyBorder="1" applyAlignment="1">
      <alignment vertical="center"/>
    </xf>
    <xf numFmtId="0" fontId="0" fillId="0" borderId="87" xfId="0" applyBorder="1"/>
    <xf numFmtId="170" fontId="0" fillId="0" borderId="88" xfId="0" applyNumberFormat="1" applyBorder="1" applyAlignment="1">
      <alignment vertical="center"/>
    </xf>
    <xf numFmtId="170" fontId="0" fillId="0" borderId="91" xfId="0" applyNumberFormat="1" applyBorder="1" applyAlignment="1">
      <alignment vertical="center"/>
    </xf>
    <xf numFmtId="0" fontId="10" fillId="0" borderId="10" xfId="0" applyFont="1" applyBorder="1" applyAlignment="1">
      <alignment horizontal="center" vertical="center" wrapText="1"/>
    </xf>
    <xf numFmtId="164" fontId="0" fillId="0" borderId="10" xfId="0" applyNumberFormat="1" applyBorder="1" applyAlignment="1">
      <alignment vertical="center"/>
    </xf>
    <xf numFmtId="0" fontId="11" fillId="0" borderId="10" xfId="0" applyFont="1" applyBorder="1" applyAlignment="1">
      <alignment horizontal="left" vertical="center" wrapText="1" indent="1"/>
    </xf>
    <xf numFmtId="0" fontId="1" fillId="0" borderId="29" xfId="0" applyFont="1" applyBorder="1" applyAlignment="1">
      <alignment horizontal="left" vertical="center" wrapText="1"/>
    </xf>
    <xf numFmtId="0" fontId="1" fillId="0" borderId="3" xfId="0" applyFont="1" applyBorder="1" applyAlignment="1">
      <alignment horizontal="left" vertical="center" wrapText="1"/>
    </xf>
    <xf numFmtId="0" fontId="1" fillId="0" borderId="3" xfId="0" applyFont="1" applyBorder="1" applyAlignment="1">
      <alignment horizontal="justify" vertical="center" wrapText="1"/>
    </xf>
    <xf numFmtId="0" fontId="1" fillId="0" borderId="37" xfId="0" applyFont="1" applyBorder="1" applyAlignment="1">
      <alignment horizontal="left" vertical="center" wrapText="1"/>
    </xf>
    <xf numFmtId="0" fontId="10" fillId="0" borderId="10" xfId="0" applyFont="1" applyBorder="1" applyAlignment="1">
      <alignment horizontal="left" vertical="center" wrapText="1"/>
    </xf>
    <xf numFmtId="168" fontId="0" fillId="0" borderId="90" xfId="0" applyNumberFormat="1" applyBorder="1" applyAlignment="1">
      <alignment horizontal="right" vertical="center"/>
    </xf>
    <xf numFmtId="0" fontId="0" fillId="0" borderId="93" xfId="0" applyBorder="1"/>
    <xf numFmtId="0" fontId="0" fillId="0" borderId="92" xfId="0" applyBorder="1"/>
    <xf numFmtId="0" fontId="2" fillId="2" borderId="94" xfId="0" applyFont="1" applyFill="1" applyBorder="1" applyAlignment="1">
      <alignment horizontal="center" vertical="center" wrapText="1"/>
    </xf>
    <xf numFmtId="164" fontId="5" fillId="0" borderId="70" xfId="0" applyNumberFormat="1" applyFont="1" applyBorder="1" applyAlignment="1">
      <alignment horizontal="right" vertical="center"/>
    </xf>
    <xf numFmtId="0" fontId="12" fillId="0" borderId="0" xfId="0" applyFont="1"/>
    <xf numFmtId="0" fontId="0" fillId="0" borderId="1" xfId="0" applyBorder="1"/>
    <xf numFmtId="164" fontId="5" fillId="0" borderId="1" xfId="0" applyNumberFormat="1" applyFont="1" applyBorder="1" applyAlignment="1">
      <alignment vertical="center"/>
    </xf>
    <xf numFmtId="164" fontId="16" fillId="8" borderId="1" xfId="0" applyNumberFormat="1" applyFont="1" applyFill="1" applyBorder="1"/>
    <xf numFmtId="164" fontId="5" fillId="7" borderId="1" xfId="0" applyNumberFormat="1" applyFont="1" applyFill="1" applyBorder="1"/>
    <xf numFmtId="164" fontId="5" fillId="0" borderId="1" xfId="0" applyNumberFormat="1" applyFont="1" applyBorder="1" applyAlignment="1">
      <alignment horizontal="right" vertical="center"/>
    </xf>
    <xf numFmtId="0" fontId="0" fillId="0" borderId="0" xfId="0" applyAlignment="1">
      <alignment horizontal="center" vertical="center"/>
    </xf>
    <xf numFmtId="0" fontId="5" fillId="0" borderId="0" xfId="0" applyFont="1" applyAlignment="1">
      <alignment horizontal="left" vertical="center"/>
    </xf>
    <xf numFmtId="0" fontId="5" fillId="0" borderId="0" xfId="0" applyFont="1" applyAlignment="1">
      <alignment vertical="center"/>
    </xf>
    <xf numFmtId="168" fontId="2" fillId="2" borderId="106" xfId="0" applyNumberFormat="1" applyFont="1" applyFill="1" applyBorder="1" applyAlignment="1">
      <alignment horizontal="center" vertical="center" wrapText="1"/>
    </xf>
    <xf numFmtId="0" fontId="16" fillId="0" borderId="0" xfId="0" applyFont="1" applyAlignment="1">
      <alignment horizontal="center" vertical="center"/>
    </xf>
    <xf numFmtId="0" fontId="17" fillId="0" borderId="0" xfId="0" applyFont="1"/>
    <xf numFmtId="1" fontId="17" fillId="0" borderId="0" xfId="0" applyNumberFormat="1" applyFont="1" applyAlignment="1">
      <alignment horizontal="center" vertical="center"/>
    </xf>
    <xf numFmtId="0" fontId="1" fillId="0" borderId="13" xfId="0" applyFont="1" applyBorder="1" applyAlignment="1">
      <alignment vertical="center" wrapText="1"/>
    </xf>
    <xf numFmtId="0" fontId="1" fillId="0" borderId="18" xfId="0" applyFont="1" applyBorder="1" applyAlignment="1">
      <alignment vertical="center" wrapText="1"/>
    </xf>
    <xf numFmtId="0" fontId="1" fillId="0" borderId="29" xfId="0" applyFont="1" applyBorder="1" applyAlignment="1">
      <alignment vertical="center" wrapText="1"/>
    </xf>
    <xf numFmtId="0" fontId="1" fillId="0" borderId="2" xfId="0" applyFont="1" applyBorder="1" applyAlignment="1">
      <alignment vertical="center" wrapText="1"/>
    </xf>
    <xf numFmtId="0" fontId="1" fillId="0" borderId="6" xfId="0" applyFont="1" applyBorder="1" applyAlignment="1">
      <alignment vertical="center" wrapText="1"/>
    </xf>
    <xf numFmtId="0" fontId="1" fillId="0" borderId="1" xfId="0" applyFont="1" applyBorder="1" applyAlignment="1">
      <alignment vertical="center" wrapText="1"/>
    </xf>
    <xf numFmtId="0" fontId="1" fillId="0" borderId="38" xfId="0" applyFont="1" applyBorder="1" applyAlignment="1">
      <alignment vertical="center" wrapText="1"/>
    </xf>
    <xf numFmtId="0" fontId="1" fillId="0" borderId="41" xfId="0" applyFont="1" applyBorder="1" applyAlignment="1">
      <alignment vertical="center" wrapText="1"/>
    </xf>
    <xf numFmtId="0" fontId="1" fillId="0" borderId="45" xfId="0" applyFont="1" applyBorder="1" applyAlignment="1">
      <alignment vertical="center" wrapText="1"/>
    </xf>
    <xf numFmtId="0" fontId="1" fillId="0" borderId="50" xfId="0" applyFont="1" applyBorder="1" applyAlignment="1">
      <alignment vertical="center" wrapText="1"/>
    </xf>
    <xf numFmtId="0" fontId="1" fillId="0" borderId="116" xfId="0" applyFont="1" applyBorder="1" applyAlignment="1">
      <alignment horizontal="left" vertical="center" wrapText="1"/>
    </xf>
    <xf numFmtId="0" fontId="1" fillId="0" borderId="1" xfId="0" applyFont="1" applyBorder="1" applyAlignment="1">
      <alignment horizontal="left" vertical="center" wrapText="1"/>
    </xf>
    <xf numFmtId="0" fontId="5" fillId="0" borderId="0" xfId="0" applyFont="1" applyAlignment="1">
      <alignment horizontal="center" vertical="center"/>
    </xf>
    <xf numFmtId="0" fontId="1" fillId="0" borderId="13" xfId="0" applyFont="1" applyBorder="1" applyAlignment="1">
      <alignment horizontal="center" vertical="center" wrapText="1"/>
    </xf>
    <xf numFmtId="0" fontId="1" fillId="0" borderId="37" xfId="0" applyFont="1" applyBorder="1" applyAlignment="1">
      <alignment horizontal="center" vertical="center" wrapText="1"/>
    </xf>
    <xf numFmtId="0" fontId="5" fillId="5" borderId="0" xfId="0" applyFont="1" applyFill="1" applyAlignment="1">
      <alignment horizontal="center"/>
    </xf>
    <xf numFmtId="0" fontId="1" fillId="9" borderId="6" xfId="0" applyFont="1" applyFill="1" applyBorder="1" applyAlignment="1">
      <alignment horizontal="justify" vertical="center" wrapText="1"/>
    </xf>
    <xf numFmtId="0" fontId="1" fillId="9" borderId="18" xfId="0" applyFont="1" applyFill="1" applyBorder="1" applyAlignment="1">
      <alignment horizontal="left" vertical="center" wrapText="1"/>
    </xf>
    <xf numFmtId="10" fontId="18" fillId="0" borderId="0" xfId="0" applyNumberFormat="1" applyFont="1"/>
    <xf numFmtId="0" fontId="5" fillId="0" borderId="1" xfId="0" applyFont="1" applyBorder="1" applyAlignment="1">
      <alignment horizontal="center"/>
    </xf>
    <xf numFmtId="0" fontId="1" fillId="3" borderId="12" xfId="0" applyFont="1" applyFill="1" applyBorder="1" applyAlignment="1">
      <alignment horizontal="center" vertical="center" wrapText="1"/>
    </xf>
    <xf numFmtId="0" fontId="1" fillId="3" borderId="21" xfId="0" applyFont="1" applyFill="1" applyBorder="1" applyAlignment="1">
      <alignment horizontal="center" vertical="center" wrapText="1"/>
    </xf>
    <xf numFmtId="10" fontId="5" fillId="0" borderId="1" xfId="0" applyNumberFormat="1" applyFont="1" applyBorder="1" applyAlignment="1">
      <alignment horizontal="center"/>
    </xf>
    <xf numFmtId="0" fontId="0" fillId="6" borderId="113" xfId="0" applyFill="1" applyBorder="1"/>
    <xf numFmtId="0" fontId="0" fillId="6" borderId="114" xfId="0" applyFill="1" applyBorder="1"/>
    <xf numFmtId="0" fontId="0" fillId="6" borderId="115" xfId="0" applyFill="1" applyBorder="1"/>
    <xf numFmtId="0" fontId="0" fillId="6" borderId="110" xfId="0" applyFill="1" applyBorder="1"/>
    <xf numFmtId="0" fontId="0" fillId="6" borderId="112" xfId="0" applyFill="1" applyBorder="1"/>
    <xf numFmtId="0" fontId="0" fillId="6" borderId="108" xfId="0" applyFill="1" applyBorder="1"/>
    <xf numFmtId="0" fontId="0" fillId="6" borderId="109" xfId="0" applyFill="1" applyBorder="1"/>
    <xf numFmtId="0" fontId="2" fillId="2" borderId="119" xfId="0" applyFont="1" applyFill="1" applyBorder="1" applyAlignment="1">
      <alignment horizontal="center" vertical="center" wrapText="1"/>
    </xf>
    <xf numFmtId="0" fontId="0" fillId="5" borderId="101" xfId="0" applyFill="1" applyBorder="1"/>
    <xf numFmtId="0" fontId="0" fillId="5" borderId="25" xfId="0" applyFill="1" applyBorder="1"/>
    <xf numFmtId="0" fontId="1" fillId="5" borderId="21" xfId="0" applyFont="1" applyFill="1" applyBorder="1" applyAlignment="1">
      <alignment horizontal="center" vertical="center" wrapText="1"/>
    </xf>
    <xf numFmtId="0" fontId="1" fillId="5" borderId="22" xfId="0" applyFont="1" applyFill="1" applyBorder="1" applyAlignment="1">
      <alignment horizontal="justify" vertical="center" wrapText="1"/>
    </xf>
    <xf numFmtId="0" fontId="2" fillId="5" borderId="23" xfId="0" applyFont="1" applyFill="1" applyBorder="1" applyAlignment="1">
      <alignment horizontal="justify" vertical="center" wrapText="1"/>
    </xf>
    <xf numFmtId="0" fontId="0" fillId="5" borderId="55" xfId="0" applyFill="1" applyBorder="1"/>
    <xf numFmtId="0" fontId="0" fillId="5" borderId="0" xfId="0" applyFill="1"/>
    <xf numFmtId="0" fontId="20" fillId="10" borderId="83" xfId="0" applyFont="1" applyFill="1" applyBorder="1" applyAlignment="1">
      <alignment horizontal="left" vertical="center"/>
    </xf>
    <xf numFmtId="0" fontId="0" fillId="0" borderId="0" xfId="0" applyAlignment="1">
      <alignment horizontal="left" vertical="center"/>
    </xf>
    <xf numFmtId="0" fontId="20" fillId="10" borderId="0" xfId="0" applyFont="1" applyFill="1" applyAlignment="1">
      <alignment horizontal="left" vertical="center"/>
    </xf>
    <xf numFmtId="0" fontId="20" fillId="10" borderId="68" xfId="0" applyFont="1" applyFill="1" applyBorder="1" applyAlignment="1">
      <alignment horizontal="left" vertical="center"/>
    </xf>
    <xf numFmtId="0" fontId="0" fillId="6" borderId="111" xfId="0" applyFill="1" applyBorder="1"/>
    <xf numFmtId="0" fontId="0" fillId="6" borderId="0" xfId="0" applyFill="1"/>
    <xf numFmtId="0" fontId="0" fillId="6" borderId="0" xfId="0" applyFill="1" applyAlignment="1">
      <alignment horizontal="center"/>
    </xf>
    <xf numFmtId="0" fontId="0" fillId="6" borderId="0" xfId="0" applyFill="1" applyAlignment="1">
      <alignment horizontal="left" vertical="center"/>
    </xf>
    <xf numFmtId="0" fontId="1" fillId="6" borderId="0" xfId="0" applyFont="1" applyFill="1" applyAlignment="1">
      <alignment horizontal="center" vertical="center" wrapText="1"/>
    </xf>
    <xf numFmtId="0" fontId="1" fillId="6" borderId="0" xfId="0" applyFont="1" applyFill="1" applyAlignment="1">
      <alignment horizontal="left" vertical="center" wrapText="1"/>
    </xf>
    <xf numFmtId="0" fontId="1" fillId="6" borderId="0" xfId="0" applyFont="1" applyFill="1" applyAlignment="1">
      <alignment horizontal="justify" vertical="center" wrapText="1"/>
    </xf>
    <xf numFmtId="0" fontId="19" fillId="5" borderId="23" xfId="0" applyFont="1" applyFill="1" applyBorder="1" applyAlignment="1">
      <alignment horizontal="center" vertical="center" wrapText="1"/>
    </xf>
    <xf numFmtId="0" fontId="1" fillId="11" borderId="5" xfId="0" applyFont="1" applyFill="1" applyBorder="1" applyAlignment="1">
      <alignment horizontal="center" vertical="center" wrapText="1"/>
    </xf>
    <xf numFmtId="164" fontId="1" fillId="11" borderId="5" xfId="0" applyNumberFormat="1" applyFont="1" applyFill="1" applyBorder="1" applyAlignment="1">
      <alignment horizontal="right" vertical="center" wrapText="1"/>
    </xf>
    <xf numFmtId="164" fontId="1" fillId="11" borderId="32" xfId="0" applyNumberFormat="1" applyFont="1" applyFill="1" applyBorder="1" applyAlignment="1">
      <alignment horizontal="right" vertical="center" wrapText="1"/>
    </xf>
    <xf numFmtId="169" fontId="5" fillId="0" borderId="0" xfId="0" applyNumberFormat="1" applyFont="1" applyAlignment="1">
      <alignment vertical="center"/>
    </xf>
    <xf numFmtId="170" fontId="5" fillId="0" borderId="0" xfId="0" applyNumberFormat="1" applyFont="1" applyAlignment="1">
      <alignment vertical="center"/>
    </xf>
    <xf numFmtId="164" fontId="5" fillId="0" borderId="7" xfId="0" applyNumberFormat="1" applyFont="1" applyBorder="1" applyAlignment="1">
      <alignment vertical="center"/>
    </xf>
    <xf numFmtId="0" fontId="5" fillId="5" borderId="0" xfId="0" applyFont="1" applyFill="1"/>
    <xf numFmtId="0" fontId="0" fillId="0" borderId="1" xfId="0" applyBorder="1" applyAlignment="1">
      <alignment horizontal="center"/>
    </xf>
    <xf numFmtId="165" fontId="1" fillId="4" borderId="68" xfId="0" applyNumberFormat="1" applyFont="1" applyFill="1" applyBorder="1" applyAlignment="1">
      <alignment horizontal="center" vertical="center" wrapText="1"/>
    </xf>
    <xf numFmtId="165" fontId="1" fillId="0" borderId="67" xfId="0" applyNumberFormat="1" applyFont="1" applyBorder="1" applyAlignment="1">
      <alignment horizontal="right" vertical="center" wrapText="1"/>
    </xf>
    <xf numFmtId="0" fontId="0" fillId="0" borderId="0" xfId="0" applyAlignment="1">
      <alignment vertical="center"/>
    </xf>
    <xf numFmtId="0" fontId="0" fillId="0" borderId="10" xfId="0" applyBorder="1" applyAlignment="1">
      <alignment vertical="center"/>
    </xf>
    <xf numFmtId="0" fontId="0" fillId="0" borderId="112" xfId="0" applyBorder="1"/>
    <xf numFmtId="0" fontId="0" fillId="0" borderId="109" xfId="0" applyBorder="1"/>
    <xf numFmtId="0" fontId="0" fillId="0" borderId="110" xfId="0" applyBorder="1"/>
    <xf numFmtId="0" fontId="0" fillId="0" borderId="111" xfId="0" applyBorder="1"/>
    <xf numFmtId="0" fontId="0" fillId="0" borderId="113" xfId="0" applyBorder="1"/>
    <xf numFmtId="0" fontId="0" fillId="0" borderId="114" xfId="0" applyBorder="1"/>
    <xf numFmtId="0" fontId="0" fillId="0" borderId="115" xfId="0" applyBorder="1"/>
    <xf numFmtId="0" fontId="0" fillId="0" borderId="108" xfId="0" applyBorder="1"/>
    <xf numFmtId="0" fontId="0" fillId="0" borderId="112" xfId="0" applyBorder="1" applyAlignment="1">
      <alignment horizontal="center" vertical="center"/>
    </xf>
    <xf numFmtId="0" fontId="0" fillId="0" borderId="114" xfId="0" applyBorder="1" applyAlignment="1">
      <alignment horizontal="center" vertical="center"/>
    </xf>
    <xf numFmtId="0" fontId="0" fillId="0" borderId="115" xfId="0" applyBorder="1" applyAlignment="1">
      <alignment horizontal="center" vertical="center"/>
    </xf>
    <xf numFmtId="0" fontId="0" fillId="0" borderId="113" xfId="0" applyBorder="1" applyAlignment="1">
      <alignment horizontal="center" vertical="center"/>
    </xf>
    <xf numFmtId="0" fontId="0" fillId="0" borderId="110" xfId="0" applyBorder="1" applyAlignment="1">
      <alignment horizontal="center" vertical="center"/>
    </xf>
    <xf numFmtId="0" fontId="1" fillId="0" borderId="37" xfId="0" applyFont="1" applyBorder="1" applyAlignment="1">
      <alignment vertical="center" wrapText="1"/>
    </xf>
    <xf numFmtId="164" fontId="1" fillId="0" borderId="86" xfId="0" applyNumberFormat="1" applyFont="1" applyBorder="1" applyAlignment="1">
      <alignment horizontal="right" vertical="center" wrapText="1"/>
    </xf>
    <xf numFmtId="164" fontId="1" fillId="0" borderId="123" xfId="0" applyNumberFormat="1" applyFont="1" applyBorder="1" applyAlignment="1">
      <alignment horizontal="right" vertical="center" wrapText="1"/>
    </xf>
    <xf numFmtId="165" fontId="1" fillId="0" borderId="68" xfId="0" applyNumberFormat="1" applyFont="1" applyBorder="1" applyAlignment="1">
      <alignment horizontal="right" vertical="center" wrapText="1"/>
    </xf>
    <xf numFmtId="164" fontId="5" fillId="0" borderId="68" xfId="0" applyNumberFormat="1" applyFont="1" applyBorder="1" applyAlignment="1">
      <alignment horizontal="right" vertical="center"/>
    </xf>
    <xf numFmtId="164" fontId="5" fillId="0" borderId="67" xfId="0" applyNumberFormat="1" applyFont="1" applyBorder="1" applyAlignment="1">
      <alignment horizontal="right" vertical="center"/>
    </xf>
    <xf numFmtId="165" fontId="1" fillId="4" borderId="83" xfId="0" applyNumberFormat="1" applyFont="1" applyFill="1" applyBorder="1" applyAlignment="1">
      <alignment horizontal="center" vertical="center" wrapText="1"/>
    </xf>
    <xf numFmtId="0" fontId="9" fillId="0" borderId="13" xfId="0" applyFont="1" applyBorder="1" applyAlignment="1">
      <alignment horizontal="center" vertical="center" wrapText="1"/>
    </xf>
    <xf numFmtId="167" fontId="1" fillId="0" borderId="68" xfId="0" applyNumberFormat="1" applyFont="1" applyBorder="1" applyAlignment="1">
      <alignment horizontal="right" vertical="center" wrapText="1"/>
    </xf>
    <xf numFmtId="167" fontId="1" fillId="0" borderId="67" xfId="0" applyNumberFormat="1" applyFont="1" applyBorder="1" applyAlignment="1">
      <alignment horizontal="right" vertical="center" wrapText="1"/>
    </xf>
    <xf numFmtId="165" fontId="1" fillId="4" borderId="67" xfId="0" applyNumberFormat="1" applyFont="1" applyFill="1" applyBorder="1" applyAlignment="1">
      <alignment horizontal="center" vertical="center" wrapText="1"/>
    </xf>
    <xf numFmtId="0" fontId="5" fillId="5" borderId="59" xfId="0" applyFont="1" applyFill="1" applyBorder="1" applyAlignment="1">
      <alignment horizontal="center" vertical="center"/>
    </xf>
    <xf numFmtId="0" fontId="5" fillId="5" borderId="64" xfId="0" applyFont="1" applyFill="1" applyBorder="1" applyAlignment="1">
      <alignment horizontal="center" vertical="center"/>
    </xf>
    <xf numFmtId="0" fontId="5" fillId="0" borderId="64" xfId="0" applyFont="1" applyBorder="1" applyAlignment="1">
      <alignment horizontal="center" vertical="center"/>
    </xf>
    <xf numFmtId="0" fontId="5" fillId="0" borderId="60" xfId="0" applyFont="1" applyBorder="1" applyAlignment="1">
      <alignment horizontal="center" vertical="center"/>
    </xf>
    <xf numFmtId="164" fontId="5" fillId="0" borderId="69" xfId="0" applyNumberFormat="1" applyFont="1" applyBorder="1" applyAlignment="1">
      <alignment horizontal="right" vertical="center" wrapText="1"/>
    </xf>
    <xf numFmtId="0" fontId="18" fillId="0" borderId="0" xfId="0" applyFont="1"/>
    <xf numFmtId="0" fontId="5" fillId="0" borderId="10" xfId="0" applyFont="1" applyBorder="1"/>
    <xf numFmtId="0" fontId="16" fillId="10" borderId="0" xfId="0" applyFont="1" applyFill="1"/>
    <xf numFmtId="0" fontId="16" fillId="10" borderId="0" xfId="0" applyFont="1" applyFill="1" applyAlignment="1">
      <alignment horizontal="left"/>
    </xf>
    <xf numFmtId="0" fontId="5" fillId="0" borderId="0" xfId="0" applyFont="1" applyAlignment="1">
      <alignment horizontal="left" indent="2"/>
    </xf>
    <xf numFmtId="0" fontId="12" fillId="0" borderId="0" xfId="0" applyFont="1" applyAlignment="1">
      <alignment horizontal="left" indent="2"/>
    </xf>
    <xf numFmtId="0" fontId="12" fillId="0" borderId="25" xfId="0" applyFont="1" applyBorder="1" applyAlignment="1">
      <alignment horizontal="center" vertical="center" wrapText="1"/>
    </xf>
    <xf numFmtId="0" fontId="0" fillId="0" borderId="25" xfId="0" applyBorder="1" applyAlignment="1">
      <alignment horizontal="center" vertical="center" wrapText="1"/>
    </xf>
    <xf numFmtId="0" fontId="26" fillId="0" borderId="10" xfId="0" applyFont="1" applyBorder="1"/>
    <xf numFmtId="0" fontId="26" fillId="0" borderId="0" xfId="0" applyFont="1" applyAlignment="1">
      <alignment horizontal="left"/>
    </xf>
    <xf numFmtId="0" fontId="2" fillId="0" borderId="6" xfId="0" applyFont="1" applyBorder="1" applyAlignment="1">
      <alignment horizontal="left" vertical="center" wrapText="1"/>
    </xf>
    <xf numFmtId="0" fontId="17" fillId="0" borderId="0" xfId="0" applyFont="1" applyAlignment="1">
      <alignment horizontal="center"/>
    </xf>
    <xf numFmtId="168" fontId="2" fillId="2" borderId="109" xfId="0" applyNumberFormat="1" applyFont="1" applyFill="1" applyBorder="1" applyAlignment="1">
      <alignment horizontal="center" vertical="center" wrapText="1"/>
    </xf>
    <xf numFmtId="164" fontId="5" fillId="6" borderId="7" xfId="0" applyNumberFormat="1" applyFont="1" applyFill="1" applyBorder="1" applyAlignment="1">
      <alignment vertical="center"/>
    </xf>
    <xf numFmtId="170" fontId="5" fillId="6" borderId="0" xfId="0" applyNumberFormat="1" applyFont="1" applyFill="1" applyAlignment="1">
      <alignment vertical="center"/>
    </xf>
    <xf numFmtId="0" fontId="5" fillId="6" borderId="6" xfId="0" applyFont="1" applyFill="1" applyBorder="1" applyAlignment="1">
      <alignment vertical="center"/>
    </xf>
    <xf numFmtId="169" fontId="0" fillId="0" borderId="88" xfId="0" applyNumberFormat="1" applyBorder="1" applyAlignment="1">
      <alignment horizontal="right" vertical="center"/>
    </xf>
    <xf numFmtId="164" fontId="0" fillId="0" borderId="88" xfId="0" applyNumberFormat="1" applyBorder="1"/>
    <xf numFmtId="171" fontId="5" fillId="3" borderId="88" xfId="0" applyNumberFormat="1" applyFont="1" applyFill="1" applyBorder="1"/>
    <xf numFmtId="0" fontId="0" fillId="0" borderId="89" xfId="0" applyBorder="1"/>
    <xf numFmtId="0" fontId="0" fillId="0" borderId="11" xfId="0" applyBorder="1"/>
    <xf numFmtId="164" fontId="0" fillId="0" borderId="0" xfId="0" applyNumberFormat="1"/>
    <xf numFmtId="171" fontId="5" fillId="3" borderId="0" xfId="0" applyNumberFormat="1" applyFont="1" applyFill="1"/>
    <xf numFmtId="0" fontId="0" fillId="0" borderId="7" xfId="0" applyBorder="1"/>
    <xf numFmtId="0" fontId="0" fillId="0" borderId="91" xfId="0" applyBorder="1"/>
    <xf numFmtId="0" fontId="0" fillId="0" borderId="5" xfId="0" applyBorder="1"/>
    <xf numFmtId="0" fontId="0" fillId="0" borderId="89" xfId="0" applyBorder="1" applyAlignment="1">
      <alignment horizontal="left" indent="1"/>
    </xf>
    <xf numFmtId="0" fontId="0" fillId="0" borderId="7" xfId="0" applyBorder="1" applyAlignment="1">
      <alignment horizontal="left" indent="1"/>
    </xf>
    <xf numFmtId="0" fontId="0" fillId="0" borderId="6" xfId="0" applyBorder="1" applyAlignment="1">
      <alignment vertical="center"/>
    </xf>
    <xf numFmtId="170" fontId="0" fillId="0" borderId="0" xfId="0" applyNumberFormat="1" applyAlignment="1">
      <alignment vertical="center"/>
    </xf>
    <xf numFmtId="0" fontId="0" fillId="0" borderId="88" xfId="0" applyBorder="1"/>
    <xf numFmtId="169" fontId="2" fillId="2" borderId="105" xfId="0" applyNumberFormat="1" applyFont="1" applyFill="1" applyBorder="1" applyAlignment="1">
      <alignment horizontal="center" vertical="center" wrapText="1"/>
    </xf>
    <xf numFmtId="164" fontId="28" fillId="10" borderId="107" xfId="0" applyNumberFormat="1" applyFont="1" applyFill="1" applyBorder="1" applyAlignment="1">
      <alignment horizontal="center" vertical="center" wrapText="1"/>
    </xf>
    <xf numFmtId="170" fontId="28" fillId="12" borderId="105" xfId="0" applyNumberFormat="1" applyFont="1" applyFill="1" applyBorder="1" applyAlignment="1">
      <alignment horizontal="center" vertical="center" wrapText="1"/>
    </xf>
    <xf numFmtId="0" fontId="0" fillId="0" borderId="126" xfId="0" applyBorder="1"/>
    <xf numFmtId="0" fontId="0" fillId="0" borderId="125" xfId="0" applyBorder="1"/>
    <xf numFmtId="0" fontId="0" fillId="0" borderId="127" xfId="0" applyBorder="1"/>
    <xf numFmtId="0" fontId="29" fillId="5" borderId="59" xfId="0" quotePrefix="1" applyFont="1" applyFill="1" applyBorder="1" applyAlignment="1">
      <alignment horizontal="center" vertical="center" wrapText="1"/>
    </xf>
    <xf numFmtId="172" fontId="0" fillId="0" borderId="87" xfId="0" applyNumberFormat="1" applyBorder="1" applyAlignment="1">
      <alignment horizontal="right" vertical="center"/>
    </xf>
    <xf numFmtId="172" fontId="0" fillId="0" borderId="90" xfId="0" applyNumberFormat="1" applyBorder="1" applyAlignment="1">
      <alignment horizontal="right" vertical="center"/>
    </xf>
    <xf numFmtId="168" fontId="0" fillId="0" borderId="87" xfId="0" applyNumberFormat="1" applyBorder="1" applyAlignment="1">
      <alignment vertical="center"/>
    </xf>
    <xf numFmtId="0" fontId="18" fillId="0" borderId="0" xfId="0" applyFont="1" applyAlignment="1">
      <alignment horizontal="center" vertical="center"/>
    </xf>
    <xf numFmtId="164" fontId="0" fillId="0" borderId="4" xfId="0" applyNumberFormat="1" applyBorder="1" applyAlignment="1">
      <alignment vertical="center"/>
    </xf>
    <xf numFmtId="169" fontId="0" fillId="0" borderId="9" xfId="0" applyNumberFormat="1" applyBorder="1" applyAlignment="1">
      <alignment vertical="center"/>
    </xf>
    <xf numFmtId="170" fontId="0" fillId="0" borderId="9" xfId="0" applyNumberFormat="1" applyBorder="1" applyAlignment="1">
      <alignment vertical="center"/>
    </xf>
    <xf numFmtId="0" fontId="33" fillId="0" borderId="2" xfId="0" applyFont="1" applyBorder="1" applyAlignment="1">
      <alignment vertical="center"/>
    </xf>
    <xf numFmtId="0" fontId="33" fillId="0" borderId="87" xfId="0" applyFont="1" applyBorder="1" applyAlignment="1">
      <alignment vertical="center"/>
    </xf>
    <xf numFmtId="0" fontId="33" fillId="0" borderId="90" xfId="0" applyFont="1" applyBorder="1" applyAlignment="1">
      <alignment vertical="center"/>
    </xf>
    <xf numFmtId="164" fontId="0" fillId="0" borderId="91" xfId="0" applyNumberFormat="1" applyBorder="1"/>
    <xf numFmtId="0" fontId="5" fillId="6" borderId="77" xfId="0" applyFont="1" applyFill="1" applyBorder="1"/>
    <xf numFmtId="0" fontId="0" fillId="6" borderId="98" xfId="0" applyFill="1" applyBorder="1"/>
    <xf numFmtId="0" fontId="0" fillId="6" borderId="28" xfId="0" applyFill="1" applyBorder="1" applyAlignment="1">
      <alignment horizontal="left"/>
    </xf>
    <xf numFmtId="0" fontId="0" fillId="6" borderId="96" xfId="0" applyFill="1" applyBorder="1" applyAlignment="1">
      <alignment horizontal="left" indent="1"/>
    </xf>
    <xf numFmtId="0" fontId="0" fillId="6" borderId="33" xfId="0" applyFill="1" applyBorder="1" applyAlignment="1">
      <alignment horizontal="left"/>
    </xf>
    <xf numFmtId="0" fontId="0" fillId="6" borderId="33" xfId="0" applyFill="1" applyBorder="1"/>
    <xf numFmtId="0" fontId="12" fillId="6" borderId="96" xfId="0" applyFont="1" applyFill="1" applyBorder="1" applyAlignment="1">
      <alignment horizontal="left" indent="1"/>
    </xf>
    <xf numFmtId="165" fontId="12" fillId="6" borderId="33" xfId="0" applyNumberFormat="1" applyFont="1" applyFill="1" applyBorder="1" applyAlignment="1">
      <alignment horizontal="left"/>
    </xf>
    <xf numFmtId="0" fontId="12" fillId="6" borderId="33" xfId="0" applyFont="1" applyFill="1" applyBorder="1"/>
    <xf numFmtId="0" fontId="0" fillId="6" borderId="78" xfId="0" applyFill="1" applyBorder="1" applyAlignment="1">
      <alignment horizontal="left" indent="1"/>
    </xf>
    <xf numFmtId="0" fontId="0" fillId="6" borderId="95" xfId="0" applyFill="1" applyBorder="1"/>
    <xf numFmtId="14" fontId="0" fillId="6" borderId="20" xfId="0" applyNumberFormat="1" applyFill="1" applyBorder="1" applyAlignment="1">
      <alignment horizontal="left"/>
    </xf>
    <xf numFmtId="0" fontId="20" fillId="6" borderId="96" xfId="0" applyFont="1" applyFill="1" applyBorder="1" applyAlignment="1">
      <alignment horizontal="left" indent="1"/>
    </xf>
    <xf numFmtId="0" fontId="0" fillId="0" borderId="28" xfId="0" applyBorder="1" applyAlignment="1">
      <alignment horizontal="center" vertical="center"/>
    </xf>
    <xf numFmtId="0" fontId="0" fillId="0" borderId="33" xfId="0" applyBorder="1" applyAlignment="1">
      <alignment horizontal="center" vertical="center"/>
    </xf>
    <xf numFmtId="0" fontId="0" fillId="0" borderId="20" xfId="0" applyBorder="1" applyAlignment="1">
      <alignment horizontal="center" vertical="center"/>
    </xf>
    <xf numFmtId="0" fontId="5" fillId="4" borderId="10" xfId="0" applyFont="1" applyFill="1" applyBorder="1" applyAlignment="1">
      <alignment horizontal="center" vertical="center"/>
    </xf>
    <xf numFmtId="0" fontId="11" fillId="4" borderId="10" xfId="0" applyFont="1" applyFill="1" applyBorder="1" applyAlignment="1">
      <alignment horizontal="center" vertical="center" wrapText="1"/>
    </xf>
    <xf numFmtId="0" fontId="5" fillId="4" borderId="10" xfId="0" applyFont="1" applyFill="1" applyBorder="1" applyAlignment="1">
      <alignment horizontal="center" vertical="center" wrapText="1"/>
    </xf>
    <xf numFmtId="0" fontId="37" fillId="0" borderId="0" xfId="0" applyFont="1" applyAlignment="1">
      <alignment horizontal="left" indent="2"/>
    </xf>
    <xf numFmtId="0" fontId="37" fillId="0" borderId="2" xfId="0" applyFont="1" applyBorder="1" applyAlignment="1">
      <alignment horizontal="left" vertical="center" wrapText="1" indent="2"/>
    </xf>
    <xf numFmtId="0" fontId="37" fillId="0" borderId="3" xfId="0" applyFont="1" applyBorder="1" applyAlignment="1">
      <alignment horizontal="left" vertical="center" wrapText="1" indent="2"/>
    </xf>
    <xf numFmtId="0" fontId="35" fillId="3" borderId="112" xfId="0" applyFont="1" applyFill="1" applyBorder="1"/>
    <xf numFmtId="0" fontId="36" fillId="3" borderId="108" xfId="0" applyFont="1" applyFill="1" applyBorder="1"/>
    <xf numFmtId="0" fontId="35" fillId="3" borderId="109" xfId="0" applyFont="1" applyFill="1" applyBorder="1"/>
    <xf numFmtId="0" fontId="35" fillId="3" borderId="110" xfId="0" applyFont="1" applyFill="1" applyBorder="1"/>
    <xf numFmtId="0" fontId="1" fillId="9" borderId="6" xfId="0" applyFont="1" applyFill="1" applyBorder="1" applyAlignment="1">
      <alignment horizontal="left" vertical="center" wrapText="1"/>
    </xf>
    <xf numFmtId="0" fontId="6" fillId="0" borderId="0" xfId="0" applyFont="1"/>
    <xf numFmtId="0" fontId="29" fillId="5" borderId="128" xfId="0" quotePrefix="1" applyFont="1" applyFill="1" applyBorder="1" applyAlignment="1">
      <alignment horizontal="center" vertical="center" wrapText="1"/>
    </xf>
    <xf numFmtId="0" fontId="34" fillId="3" borderId="0" xfId="0" applyFont="1" applyFill="1" applyAlignment="1">
      <alignment vertical="center"/>
    </xf>
    <xf numFmtId="0" fontId="0" fillId="3" borderId="0" xfId="0" applyFill="1" applyAlignment="1">
      <alignment vertical="center"/>
    </xf>
    <xf numFmtId="173" fontId="5" fillId="6" borderId="33" xfId="0" applyNumberFormat="1" applyFont="1" applyFill="1" applyBorder="1" applyAlignment="1">
      <alignment horizontal="center" vertical="center"/>
    </xf>
    <xf numFmtId="0" fontId="9" fillId="0" borderId="13" xfId="0" applyFont="1" applyBorder="1" applyAlignment="1">
      <alignment horizontal="justify" vertical="center" wrapText="1"/>
    </xf>
    <xf numFmtId="0" fontId="9" fillId="0" borderId="13" xfId="0" applyFont="1" applyBorder="1" applyAlignment="1">
      <alignment horizontal="left" vertical="center" wrapText="1"/>
    </xf>
    <xf numFmtId="164" fontId="9" fillId="0" borderId="27" xfId="0" applyNumberFormat="1" applyFont="1" applyBorder="1" applyAlignment="1">
      <alignment horizontal="right" vertical="center" wrapText="1"/>
    </xf>
    <xf numFmtId="164" fontId="9" fillId="0" borderId="28" xfId="0" applyNumberFormat="1" applyFont="1" applyBorder="1" applyAlignment="1">
      <alignment horizontal="right" vertical="center" wrapText="1"/>
    </xf>
    <xf numFmtId="0" fontId="9" fillId="0" borderId="18" xfId="0" applyFont="1" applyBorder="1" applyAlignment="1">
      <alignment horizontal="left" vertical="center" wrapText="1"/>
    </xf>
    <xf numFmtId="164" fontId="9" fillId="0" borderId="19" xfId="0" applyNumberFormat="1" applyFont="1" applyBorder="1" applyAlignment="1">
      <alignment horizontal="right" vertical="center" wrapText="1"/>
    </xf>
    <xf numFmtId="164" fontId="9" fillId="0" borderId="20" xfId="0" applyNumberFormat="1" applyFont="1" applyBorder="1" applyAlignment="1">
      <alignment horizontal="right" vertical="center" wrapText="1"/>
    </xf>
    <xf numFmtId="173" fontId="16" fillId="10" borderId="0" xfId="0" applyNumberFormat="1" applyFont="1" applyFill="1" applyAlignment="1">
      <alignment horizontal="left" indent="5"/>
    </xf>
    <xf numFmtId="169" fontId="0" fillId="0" borderId="87" xfId="0" applyNumberFormat="1" applyBorder="1" applyAlignment="1">
      <alignment vertical="center"/>
    </xf>
    <xf numFmtId="169" fontId="0" fillId="0" borderId="11" xfId="0" applyNumberFormat="1" applyBorder="1" applyAlignment="1">
      <alignment vertical="center"/>
    </xf>
    <xf numFmtId="169" fontId="0" fillId="0" borderId="129" xfId="0" applyNumberFormat="1" applyBorder="1" applyAlignment="1">
      <alignment vertical="center"/>
    </xf>
    <xf numFmtId="169" fontId="0" fillId="0" borderId="130" xfId="0" applyNumberFormat="1" applyBorder="1" applyAlignment="1">
      <alignment vertical="center"/>
    </xf>
    <xf numFmtId="169" fontId="0" fillId="0" borderId="90" xfId="0" applyNumberFormat="1" applyBorder="1" applyAlignment="1">
      <alignment vertical="center"/>
    </xf>
    <xf numFmtId="168" fontId="0" fillId="0" borderId="129" xfId="0" applyNumberFormat="1" applyBorder="1" applyAlignment="1">
      <alignment vertical="center"/>
    </xf>
    <xf numFmtId="168" fontId="0" fillId="0" borderId="130" xfId="0" applyNumberFormat="1" applyBorder="1" applyAlignment="1">
      <alignment vertical="center"/>
    </xf>
    <xf numFmtId="164" fontId="21" fillId="0" borderId="0" xfId="0" applyNumberFormat="1" applyFont="1"/>
    <xf numFmtId="0" fontId="21" fillId="0" borderId="89" xfId="0" applyFont="1" applyBorder="1"/>
    <xf numFmtId="172" fontId="12" fillId="0" borderId="87" xfId="0" applyNumberFormat="1" applyFont="1" applyBorder="1" applyAlignment="1">
      <alignment horizontal="right" vertical="center"/>
    </xf>
    <xf numFmtId="172" fontId="12" fillId="0" borderId="90" xfId="0" applyNumberFormat="1" applyFont="1" applyBorder="1" applyAlignment="1">
      <alignment horizontal="right" vertical="center"/>
    </xf>
    <xf numFmtId="168" fontId="12" fillId="0" borderId="87" xfId="0" applyNumberFormat="1" applyFont="1" applyBorder="1" applyAlignment="1">
      <alignment horizontal="right" vertical="center"/>
    </xf>
    <xf numFmtId="0" fontId="0" fillId="6" borderId="93" xfId="0" applyFill="1" applyBorder="1"/>
    <xf numFmtId="169" fontId="5" fillId="6" borderId="0" xfId="0" applyNumberFormat="1" applyFont="1" applyFill="1" applyAlignment="1">
      <alignment vertical="center"/>
    </xf>
    <xf numFmtId="0" fontId="44" fillId="3" borderId="3" xfId="0" applyFont="1" applyFill="1" applyBorder="1" applyAlignment="1">
      <alignment horizontal="center" vertical="center"/>
    </xf>
    <xf numFmtId="0" fontId="44" fillId="3" borderId="1" xfId="0" applyFont="1" applyFill="1" applyBorder="1" applyAlignment="1">
      <alignment horizontal="center" vertical="center"/>
    </xf>
    <xf numFmtId="164" fontId="44" fillId="3" borderId="2" xfId="0" applyNumberFormat="1" applyFont="1" applyFill="1" applyBorder="1" applyAlignment="1">
      <alignment horizontal="center" vertical="center"/>
    </xf>
    <xf numFmtId="164" fontId="44" fillId="3" borderId="3" xfId="0" applyNumberFormat="1" applyFont="1" applyFill="1" applyBorder="1" applyAlignment="1">
      <alignment horizontal="center" vertical="center"/>
    </xf>
    <xf numFmtId="0" fontId="44" fillId="3" borderId="6" xfId="0" applyFont="1" applyFill="1" applyBorder="1" applyAlignment="1">
      <alignment horizontal="center" vertical="center"/>
    </xf>
    <xf numFmtId="164" fontId="42" fillId="14" borderId="1" xfId="0" applyNumberFormat="1" applyFont="1" applyFill="1" applyBorder="1" applyAlignment="1">
      <alignment horizontal="center" vertical="center" wrapText="1"/>
    </xf>
    <xf numFmtId="0" fontId="9" fillId="0" borderId="38" xfId="0" applyFont="1" applyBorder="1" applyAlignment="1">
      <alignment horizontal="left" vertical="center" wrapText="1"/>
    </xf>
    <xf numFmtId="0" fontId="9" fillId="0" borderId="37" xfId="0" applyFont="1" applyBorder="1" applyAlignment="1">
      <alignment horizontal="left" vertical="center" wrapText="1"/>
    </xf>
    <xf numFmtId="0" fontId="9" fillId="0" borderId="39" xfId="0" applyFont="1" applyBorder="1" applyAlignment="1">
      <alignment horizontal="center" vertical="center" wrapText="1"/>
    </xf>
    <xf numFmtId="164" fontId="9" fillId="0" borderId="39" xfId="0" applyNumberFormat="1" applyFont="1" applyBorder="1" applyAlignment="1">
      <alignment horizontal="right" vertical="center" wrapText="1"/>
    </xf>
    <xf numFmtId="164" fontId="9" fillId="0" borderId="34" xfId="0" applyNumberFormat="1" applyFont="1" applyBorder="1" applyAlignment="1">
      <alignment horizontal="right" vertical="center" wrapText="1"/>
    </xf>
    <xf numFmtId="0" fontId="9" fillId="0" borderId="41" xfId="0" applyFont="1" applyBorder="1" applyAlignment="1">
      <alignment horizontal="left" vertical="center" wrapText="1"/>
    </xf>
    <xf numFmtId="0" fontId="9" fillId="0" borderId="42" xfId="0" applyFont="1" applyBorder="1" applyAlignment="1">
      <alignment horizontal="center" vertical="center" wrapText="1"/>
    </xf>
    <xf numFmtId="164" fontId="9" fillId="0" borderId="42" xfId="0" applyNumberFormat="1" applyFont="1" applyBorder="1" applyAlignment="1">
      <alignment horizontal="right" vertical="center" wrapText="1"/>
    </xf>
    <xf numFmtId="164" fontId="9" fillId="0" borderId="35" xfId="0" applyNumberFormat="1" applyFont="1" applyBorder="1" applyAlignment="1">
      <alignment horizontal="right" vertical="center" wrapText="1"/>
    </xf>
    <xf numFmtId="0" fontId="9" fillId="0" borderId="23" xfId="0" applyFont="1" applyBorder="1" applyAlignment="1">
      <alignment horizontal="justify" vertical="center" wrapText="1"/>
    </xf>
    <xf numFmtId="164" fontId="9" fillId="0" borderId="30" xfId="0" applyNumberFormat="1" applyFont="1" applyBorder="1" applyAlignment="1">
      <alignment horizontal="right" vertical="center" wrapText="1"/>
    </xf>
    <xf numFmtId="164" fontId="9" fillId="0" borderId="31" xfId="0" applyNumberFormat="1" applyFont="1" applyBorder="1" applyAlignment="1">
      <alignment horizontal="right" vertical="center" wrapText="1"/>
    </xf>
    <xf numFmtId="0" fontId="9" fillId="0" borderId="30" xfId="0" applyFont="1" applyBorder="1" applyAlignment="1">
      <alignment horizontal="left" vertical="center" wrapText="1"/>
    </xf>
    <xf numFmtId="0" fontId="20" fillId="0" borderId="3" xfId="0" applyFont="1" applyBorder="1" applyAlignment="1">
      <alignment vertical="center"/>
    </xf>
    <xf numFmtId="164" fontId="44" fillId="3" borderId="6" xfId="0" applyNumberFormat="1" applyFont="1" applyFill="1" applyBorder="1" applyAlignment="1">
      <alignment horizontal="center" vertical="center"/>
    </xf>
    <xf numFmtId="169" fontId="0" fillId="0" borderId="9" xfId="0" applyNumberFormat="1" applyBorder="1" applyAlignment="1">
      <alignment horizontal="right" vertical="center"/>
    </xf>
    <xf numFmtId="164" fontId="44" fillId="3" borderId="1" xfId="0" applyNumberFormat="1" applyFont="1" applyFill="1" applyBorder="1" applyAlignment="1">
      <alignment horizontal="center" vertical="center"/>
    </xf>
    <xf numFmtId="0" fontId="38" fillId="0" borderId="87" xfId="0" applyFont="1" applyBorder="1" applyAlignment="1">
      <alignment vertical="center"/>
    </xf>
    <xf numFmtId="168" fontId="0" fillId="0" borderId="88" xfId="0" applyNumberFormat="1" applyBorder="1" applyAlignment="1">
      <alignment vertical="center"/>
    </xf>
    <xf numFmtId="0" fontId="2" fillId="2" borderId="131" xfId="0" applyFont="1" applyFill="1" applyBorder="1" applyAlignment="1">
      <alignment horizontal="center" vertical="center" wrapText="1"/>
    </xf>
    <xf numFmtId="0" fontId="5" fillId="6" borderId="96" xfId="0" applyFont="1" applyFill="1" applyBorder="1" applyAlignment="1">
      <alignment horizontal="left" indent="1"/>
    </xf>
    <xf numFmtId="0" fontId="0" fillId="0" borderId="8" xfId="0" applyBorder="1" applyAlignment="1">
      <alignment vertical="center" wrapText="1"/>
    </xf>
    <xf numFmtId="164" fontId="20" fillId="0" borderId="88" xfId="0" applyNumberFormat="1" applyFont="1" applyBorder="1"/>
    <xf numFmtId="0" fontId="45" fillId="5" borderId="29" xfId="0" applyFont="1" applyFill="1" applyBorder="1" applyAlignment="1">
      <alignment vertical="center" wrapText="1"/>
    </xf>
    <xf numFmtId="1" fontId="46" fillId="5" borderId="0" xfId="0" applyNumberFormat="1" applyFont="1" applyFill="1" applyAlignment="1">
      <alignment horizontal="center" vertical="center"/>
    </xf>
    <xf numFmtId="0" fontId="45" fillId="5" borderId="29" xfId="0" applyFont="1" applyFill="1" applyBorder="1" applyAlignment="1">
      <alignment horizontal="left" vertical="center" wrapText="1"/>
    </xf>
    <xf numFmtId="0" fontId="45" fillId="5" borderId="2" xfId="0" applyFont="1" applyFill="1" applyBorder="1" applyAlignment="1">
      <alignment horizontal="left" vertical="center" wrapText="1"/>
    </xf>
    <xf numFmtId="0" fontId="45" fillId="5" borderId="14" xfId="0" applyFont="1" applyFill="1" applyBorder="1" applyAlignment="1">
      <alignment horizontal="center" vertical="center" wrapText="1"/>
    </xf>
    <xf numFmtId="164" fontId="45" fillId="5" borderId="14" xfId="0" applyNumberFormat="1" applyFont="1" applyFill="1" applyBorder="1" applyAlignment="1">
      <alignment horizontal="right" vertical="center" wrapText="1"/>
    </xf>
    <xf numFmtId="164" fontId="45" fillId="5" borderId="15" xfId="0" applyNumberFormat="1" applyFont="1" applyFill="1" applyBorder="1" applyAlignment="1">
      <alignment horizontal="right" vertical="center" wrapText="1"/>
    </xf>
    <xf numFmtId="0" fontId="45" fillId="5" borderId="3" xfId="0" applyFont="1" applyFill="1" applyBorder="1" applyAlignment="1">
      <alignment vertical="center" wrapText="1"/>
    </xf>
    <xf numFmtId="0" fontId="45" fillId="5" borderId="3" xfId="0" applyFont="1" applyFill="1" applyBorder="1" applyAlignment="1">
      <alignment horizontal="left" vertical="center" wrapText="1"/>
    </xf>
    <xf numFmtId="0" fontId="45" fillId="5" borderId="6" xfId="0" applyFont="1" applyFill="1" applyBorder="1" applyAlignment="1">
      <alignment horizontal="left" vertical="center" wrapText="1"/>
    </xf>
    <xf numFmtId="0" fontId="45" fillId="5" borderId="5" xfId="0" applyFont="1" applyFill="1" applyBorder="1" applyAlignment="1">
      <alignment horizontal="center" vertical="center" wrapText="1"/>
    </xf>
    <xf numFmtId="164" fontId="45" fillId="5" borderId="5" xfId="0" applyNumberFormat="1" applyFont="1" applyFill="1" applyBorder="1" applyAlignment="1">
      <alignment horizontal="right" vertical="center" wrapText="1"/>
    </xf>
    <xf numFmtId="164" fontId="45" fillId="5" borderId="32" xfId="0" applyNumberFormat="1" applyFont="1" applyFill="1" applyBorder="1" applyAlignment="1">
      <alignment horizontal="right" vertical="center" wrapText="1"/>
    </xf>
    <xf numFmtId="0" fontId="22" fillId="0" borderId="96" xfId="0" applyFont="1" applyBorder="1" applyAlignment="1">
      <alignment horizontal="left" vertical="center" wrapText="1"/>
    </xf>
    <xf numFmtId="0" fontId="22" fillId="0" borderId="0" xfId="0" applyFont="1" applyAlignment="1">
      <alignment horizontal="left" vertical="center" wrapText="1"/>
    </xf>
    <xf numFmtId="0" fontId="22" fillId="0" borderId="78" xfId="0" applyFont="1" applyBorder="1" applyAlignment="1">
      <alignment horizontal="left" vertical="center" wrapText="1"/>
    </xf>
    <xf numFmtId="0" fontId="22" fillId="0" borderId="95" xfId="0" applyFont="1" applyBorder="1" applyAlignment="1">
      <alignment horizontal="left" vertical="center" wrapText="1"/>
    </xf>
    <xf numFmtId="0" fontId="34" fillId="0" borderId="0" xfId="0" applyFont="1" applyAlignment="1">
      <alignment horizontal="left" vertical="center" wrapText="1"/>
    </xf>
    <xf numFmtId="0" fontId="22" fillId="0" borderId="96" xfId="0" applyFont="1" applyBorder="1" applyAlignment="1">
      <alignment horizontal="center" vertical="center" wrapText="1"/>
    </xf>
    <xf numFmtId="0" fontId="22" fillId="0" borderId="0" xfId="0" applyFont="1" applyAlignment="1">
      <alignment horizontal="center" vertical="center" wrapText="1"/>
    </xf>
    <xf numFmtId="0" fontId="16" fillId="12" borderId="77" xfId="0" applyFont="1" applyFill="1" applyBorder="1" applyAlignment="1">
      <alignment horizontal="center" vertical="center"/>
    </xf>
    <xf numFmtId="0" fontId="16" fillId="12" borderId="98" xfId="0" applyFont="1" applyFill="1" applyBorder="1" applyAlignment="1">
      <alignment horizontal="center" vertical="center"/>
    </xf>
    <xf numFmtId="0" fontId="16" fillId="12" borderId="28" xfId="0" applyFont="1" applyFill="1" applyBorder="1" applyAlignment="1">
      <alignment horizontal="center" vertical="center"/>
    </xf>
    <xf numFmtId="0" fontId="16" fillId="12" borderId="78" xfId="0" applyFont="1" applyFill="1" applyBorder="1" applyAlignment="1">
      <alignment horizontal="center" vertical="center"/>
    </xf>
    <xf numFmtId="0" fontId="16" fillId="12" borderId="95" xfId="0" applyFont="1" applyFill="1" applyBorder="1" applyAlignment="1">
      <alignment horizontal="center" vertical="center"/>
    </xf>
    <xf numFmtId="0" fontId="16" fillId="12" borderId="20" xfId="0" applyFont="1" applyFill="1" applyBorder="1" applyAlignment="1">
      <alignment horizontal="center" vertical="center"/>
    </xf>
    <xf numFmtId="0" fontId="22" fillId="0" borderId="77" xfId="0" applyFont="1" applyBorder="1" applyAlignment="1">
      <alignment horizontal="left" vertical="center" wrapText="1"/>
    </xf>
    <xf numFmtId="0" fontId="22" fillId="0" borderId="98" xfId="0" applyFont="1" applyBorder="1" applyAlignment="1">
      <alignment horizontal="left" vertical="center" wrapText="1"/>
    </xf>
    <xf numFmtId="0" fontId="0" fillId="6" borderId="96" xfId="0" applyFill="1" applyBorder="1" applyAlignment="1">
      <alignment horizontal="left" vertical="center" wrapText="1" indent="1"/>
    </xf>
    <xf numFmtId="0" fontId="0" fillId="6" borderId="0" xfId="0" applyFill="1" applyAlignment="1">
      <alignment horizontal="left" vertical="center" wrapText="1" indent="1"/>
    </xf>
    <xf numFmtId="0" fontId="5" fillId="0" borderId="90" xfId="0" applyFont="1" applyBorder="1" applyAlignment="1">
      <alignment horizontal="center" vertical="center"/>
    </xf>
    <xf numFmtId="0" fontId="5" fillId="0" borderId="91" xfId="0" applyFont="1" applyBorder="1" applyAlignment="1">
      <alignment horizontal="center" vertical="center"/>
    </xf>
    <xf numFmtId="0" fontId="5" fillId="0" borderId="5" xfId="0" applyFont="1" applyBorder="1" applyAlignment="1">
      <alignment horizontal="center" vertical="center"/>
    </xf>
    <xf numFmtId="0" fontId="5" fillId="0" borderId="11" xfId="0" applyFont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5" fillId="0" borderId="7" xfId="0" applyFont="1" applyBorder="1" applyAlignment="1">
      <alignment horizontal="center" vertical="center"/>
    </xf>
    <xf numFmtId="0" fontId="5" fillId="0" borderId="87" xfId="0" applyFont="1" applyBorder="1" applyAlignment="1">
      <alignment horizontal="center" vertical="center"/>
    </xf>
    <xf numFmtId="0" fontId="5" fillId="0" borderId="88" xfId="0" applyFont="1" applyBorder="1" applyAlignment="1">
      <alignment horizontal="center" vertical="center"/>
    </xf>
    <xf numFmtId="0" fontId="5" fillId="0" borderId="89" xfId="0" applyFont="1" applyBorder="1" applyAlignment="1">
      <alignment horizontal="center" vertical="center"/>
    </xf>
    <xf numFmtId="0" fontId="5" fillId="0" borderId="56" xfId="0" applyFont="1" applyBorder="1" applyAlignment="1">
      <alignment horizontal="center" vertical="center"/>
    </xf>
    <xf numFmtId="0" fontId="5" fillId="0" borderId="58" xfId="0" applyFont="1" applyBorder="1" applyAlignment="1">
      <alignment horizontal="center" vertical="center"/>
    </xf>
    <xf numFmtId="0" fontId="5" fillId="0" borderId="59" xfId="0" applyFont="1" applyBorder="1" applyAlignment="1">
      <alignment horizontal="center" vertical="center"/>
    </xf>
    <xf numFmtId="0" fontId="5" fillId="0" borderId="67" xfId="0" applyFont="1" applyBorder="1" applyAlignment="1">
      <alignment horizontal="center" vertical="center"/>
    </xf>
    <xf numFmtId="0" fontId="5" fillId="0" borderId="68" xfId="0" applyFont="1" applyBorder="1" applyAlignment="1">
      <alignment horizontal="center" vertical="center"/>
    </xf>
    <xf numFmtId="0" fontId="26" fillId="0" borderId="56" xfId="0" applyFont="1" applyBorder="1" applyAlignment="1">
      <alignment horizontal="center" vertical="center"/>
    </xf>
    <xf numFmtId="0" fontId="26" fillId="0" borderId="59" xfId="0" applyFont="1" applyBorder="1" applyAlignment="1">
      <alignment horizontal="center" vertical="center"/>
    </xf>
    <xf numFmtId="0" fontId="0" fillId="0" borderId="99" xfId="0" applyBorder="1" applyAlignment="1">
      <alignment horizontal="center" vertical="center" wrapText="1"/>
    </xf>
    <xf numFmtId="0" fontId="0" fillId="0" borderId="100" xfId="0" applyBorder="1" applyAlignment="1">
      <alignment horizontal="center" vertical="center" wrapText="1"/>
    </xf>
    <xf numFmtId="0" fontId="0" fillId="0" borderId="101" xfId="0" applyBorder="1" applyAlignment="1">
      <alignment horizontal="center" vertical="center" wrapText="1"/>
    </xf>
    <xf numFmtId="0" fontId="0" fillId="0" borderId="99" xfId="0" applyBorder="1" applyAlignment="1">
      <alignment horizontal="center" vertical="center"/>
    </xf>
    <xf numFmtId="0" fontId="0" fillId="0" borderId="100" xfId="0" applyBorder="1" applyAlignment="1">
      <alignment horizontal="center" vertical="center"/>
    </xf>
    <xf numFmtId="0" fontId="0" fillId="0" borderId="101" xfId="0" applyBorder="1" applyAlignment="1">
      <alignment horizontal="center" vertical="center"/>
    </xf>
    <xf numFmtId="0" fontId="0" fillId="0" borderId="99" xfId="0" applyBorder="1" applyAlignment="1">
      <alignment horizontal="center"/>
    </xf>
    <xf numFmtId="0" fontId="0" fillId="0" borderId="100" xfId="0" applyBorder="1" applyAlignment="1">
      <alignment horizontal="center"/>
    </xf>
    <xf numFmtId="0" fontId="0" fillId="0" borderId="117" xfId="0" applyBorder="1" applyAlignment="1">
      <alignment horizontal="center"/>
    </xf>
    <xf numFmtId="0" fontId="1" fillId="0" borderId="13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 wrapText="1"/>
    </xf>
    <xf numFmtId="0" fontId="9" fillId="0" borderId="13" xfId="0" applyFont="1" applyBorder="1" applyAlignment="1">
      <alignment horizontal="center" vertical="center" wrapText="1"/>
    </xf>
    <xf numFmtId="0" fontId="9" fillId="0" borderId="18" xfId="0" applyFont="1" applyBorder="1" applyAlignment="1">
      <alignment horizontal="center" vertical="center" wrapText="1"/>
    </xf>
    <xf numFmtId="0" fontId="45" fillId="5" borderId="13" xfId="0" applyFont="1" applyFill="1" applyBorder="1" applyAlignment="1">
      <alignment horizontal="center" vertical="center" wrapText="1"/>
    </xf>
    <xf numFmtId="0" fontId="45" fillId="5" borderId="6" xfId="0" applyFont="1" applyFill="1" applyBorder="1" applyAlignment="1">
      <alignment horizontal="center" vertical="center" wrapText="1"/>
    </xf>
    <xf numFmtId="0" fontId="45" fillId="5" borderId="18" xfId="0" applyFont="1" applyFill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18" xfId="0" applyFont="1" applyBorder="1" applyAlignment="1">
      <alignment horizontal="center" vertical="center" wrapText="1"/>
    </xf>
    <xf numFmtId="0" fontId="5" fillId="0" borderId="8" xfId="0" applyFont="1" applyBorder="1" applyAlignment="1">
      <alignment horizontal="left" vertical="center" indent="1"/>
    </xf>
    <xf numFmtId="0" fontId="5" fillId="0" borderId="4" xfId="0" applyFont="1" applyBorder="1" applyAlignment="1">
      <alignment horizontal="left" vertical="center" indent="1"/>
    </xf>
    <xf numFmtId="0" fontId="20" fillId="10" borderId="67" xfId="0" applyFont="1" applyFill="1" applyBorder="1" applyAlignment="1">
      <alignment horizontal="left" vertical="center" wrapText="1"/>
    </xf>
    <xf numFmtId="0" fontId="20" fillId="10" borderId="83" xfId="0" applyFont="1" applyFill="1" applyBorder="1" applyAlignment="1">
      <alignment horizontal="left" vertical="center" wrapText="1"/>
    </xf>
    <xf numFmtId="0" fontId="25" fillId="2" borderId="12" xfId="1" applyFont="1" applyFill="1" applyBorder="1" applyAlignment="1">
      <alignment horizontal="center" vertical="center" wrapText="1"/>
    </xf>
    <xf numFmtId="0" fontId="25" fillId="2" borderId="118" xfId="1" applyFont="1" applyFill="1" applyBorder="1" applyAlignment="1">
      <alignment horizontal="center" vertical="center" wrapText="1"/>
    </xf>
    <xf numFmtId="0" fontId="0" fillId="0" borderId="8" xfId="0" applyBorder="1" applyAlignment="1">
      <alignment horizontal="left" vertical="center" indent="1"/>
    </xf>
    <xf numFmtId="0" fontId="0" fillId="0" borderId="4" xfId="0" applyBorder="1" applyAlignment="1">
      <alignment horizontal="left" vertical="center" indent="1"/>
    </xf>
    <xf numFmtId="0" fontId="0" fillId="0" borderId="11" xfId="0" applyBorder="1" applyAlignment="1">
      <alignment horizontal="left" vertical="center" indent="1"/>
    </xf>
    <xf numFmtId="0" fontId="0" fillId="0" borderId="7" xfId="0" applyBorder="1" applyAlignment="1">
      <alignment horizontal="left" vertical="center" indent="1"/>
    </xf>
    <xf numFmtId="0" fontId="12" fillId="0" borderId="99" xfId="0" applyFont="1" applyBorder="1" applyAlignment="1">
      <alignment horizontal="center" vertical="center"/>
    </xf>
    <xf numFmtId="0" fontId="12" fillId="0" borderId="101" xfId="0" applyFont="1" applyBorder="1" applyAlignment="1">
      <alignment horizontal="center" vertical="center"/>
    </xf>
    <xf numFmtId="0" fontId="12" fillId="0" borderId="99" xfId="0" applyFont="1" applyBorder="1" applyAlignment="1">
      <alignment horizontal="center" vertical="center" wrapText="1"/>
    </xf>
    <xf numFmtId="0" fontId="12" fillId="0" borderId="101" xfId="0" applyFont="1" applyBorder="1" applyAlignment="1">
      <alignment horizontal="center" vertical="center" wrapText="1"/>
    </xf>
    <xf numFmtId="0" fontId="1" fillId="0" borderId="37" xfId="0" applyFont="1" applyBorder="1" applyAlignment="1">
      <alignment horizontal="center" vertical="center" wrapText="1"/>
    </xf>
    <xf numFmtId="0" fontId="1" fillId="0" borderId="41" xfId="0" applyFont="1" applyBorder="1" applyAlignment="1">
      <alignment horizontal="center" vertical="center" wrapText="1"/>
    </xf>
    <xf numFmtId="0" fontId="9" fillId="0" borderId="37" xfId="0" applyFont="1" applyBorder="1" applyAlignment="1">
      <alignment horizontal="center" vertical="center" wrapText="1"/>
    </xf>
    <xf numFmtId="0" fontId="9" fillId="0" borderId="41" xfId="0" applyFont="1" applyBorder="1" applyAlignment="1">
      <alignment horizontal="center" vertical="center" wrapText="1"/>
    </xf>
    <xf numFmtId="0" fontId="19" fillId="5" borderId="37" xfId="0" applyFont="1" applyFill="1" applyBorder="1" applyAlignment="1">
      <alignment horizontal="left" vertical="center" wrapText="1"/>
    </xf>
    <xf numFmtId="0" fontId="19" fillId="5" borderId="3" xfId="0" applyFont="1" applyFill="1" applyBorder="1" applyAlignment="1">
      <alignment horizontal="left" vertical="center" wrapText="1"/>
    </xf>
    <xf numFmtId="0" fontId="1" fillId="0" borderId="47" xfId="0" applyFont="1" applyBorder="1" applyAlignment="1">
      <alignment horizontal="center" vertical="center" wrapText="1"/>
    </xf>
    <xf numFmtId="0" fontId="1" fillId="0" borderId="49" xfId="0" applyFont="1" applyBorder="1" applyAlignment="1">
      <alignment horizontal="center" vertical="center" wrapText="1"/>
    </xf>
    <xf numFmtId="0" fontId="1" fillId="3" borderId="12" xfId="0" applyFont="1" applyFill="1" applyBorder="1" applyAlignment="1">
      <alignment horizontal="center" vertical="center" wrapText="1"/>
    </xf>
    <xf numFmtId="0" fontId="1" fillId="3" borderId="16" xfId="0" applyFont="1" applyFill="1" applyBorder="1" applyAlignment="1">
      <alignment horizontal="center" vertical="center" wrapText="1"/>
    </xf>
    <xf numFmtId="0" fontId="1" fillId="0" borderId="13" xfId="0" applyFont="1" applyBorder="1" applyAlignment="1">
      <alignment horizontal="left" vertical="center" wrapText="1"/>
    </xf>
    <xf numFmtId="0" fontId="1" fillId="0" borderId="6" xfId="0" applyFont="1" applyBorder="1" applyAlignment="1">
      <alignment horizontal="left" vertical="center" wrapText="1"/>
    </xf>
    <xf numFmtId="0" fontId="1" fillId="3" borderId="17" xfId="0" applyFont="1" applyFill="1" applyBorder="1" applyAlignment="1">
      <alignment horizontal="center" vertical="center" wrapText="1"/>
    </xf>
    <xf numFmtId="0" fontId="1" fillId="0" borderId="18" xfId="0" applyFont="1" applyBorder="1" applyAlignment="1">
      <alignment horizontal="left" vertical="center" wrapText="1"/>
    </xf>
    <xf numFmtId="0" fontId="41" fillId="14" borderId="12" xfId="0" applyFont="1" applyFill="1" applyBorder="1" applyAlignment="1">
      <alignment horizontal="center" vertical="center" wrapText="1"/>
    </xf>
    <xf numFmtId="0" fontId="41" fillId="14" borderId="16" xfId="0" applyFont="1" applyFill="1" applyBorder="1" applyAlignment="1">
      <alignment horizontal="center" vertical="center" wrapText="1"/>
    </xf>
    <xf numFmtId="0" fontId="41" fillId="14" borderId="17" xfId="0" applyFont="1" applyFill="1" applyBorder="1" applyAlignment="1">
      <alignment horizontal="center" vertical="center" wrapText="1"/>
    </xf>
    <xf numFmtId="0" fontId="1" fillId="0" borderId="11" xfId="0" applyFont="1" applyBorder="1" applyAlignment="1">
      <alignment horizontal="left" vertical="center" wrapText="1"/>
    </xf>
    <xf numFmtId="0" fontId="28" fillId="14" borderId="12" xfId="0" applyFont="1" applyFill="1" applyBorder="1" applyAlignment="1">
      <alignment horizontal="center" vertical="center" wrapText="1"/>
    </xf>
    <xf numFmtId="0" fontId="28" fillId="14" borderId="17" xfId="0" applyFont="1" applyFill="1" applyBorder="1" applyAlignment="1">
      <alignment horizontal="center" vertical="center" wrapText="1"/>
    </xf>
    <xf numFmtId="0" fontId="1" fillId="15" borderId="12" xfId="0" applyFont="1" applyFill="1" applyBorder="1" applyAlignment="1">
      <alignment horizontal="center" vertical="center" wrapText="1"/>
    </xf>
    <xf numFmtId="0" fontId="1" fillId="15" borderId="17" xfId="0" applyFont="1" applyFill="1" applyBorder="1" applyAlignment="1">
      <alignment horizontal="center" vertical="center" wrapText="1"/>
    </xf>
    <xf numFmtId="0" fontId="1" fillId="15" borderId="13" xfId="0" applyFont="1" applyFill="1" applyBorder="1" applyAlignment="1">
      <alignment horizontal="left" vertical="center" wrapText="1"/>
    </xf>
    <xf numFmtId="0" fontId="1" fillId="15" borderId="18" xfId="0" applyFont="1" applyFill="1" applyBorder="1" applyAlignment="1">
      <alignment horizontal="left" vertical="center" wrapText="1"/>
    </xf>
    <xf numFmtId="0" fontId="19" fillId="5" borderId="37" xfId="0" applyFont="1" applyFill="1" applyBorder="1" applyAlignment="1">
      <alignment horizontal="center" vertical="center" wrapText="1"/>
    </xf>
    <xf numFmtId="0" fontId="19" fillId="5" borderId="3" xfId="0" applyFont="1" applyFill="1" applyBorder="1" applyAlignment="1">
      <alignment horizontal="center" vertical="center" wrapText="1"/>
    </xf>
    <xf numFmtId="0" fontId="1" fillId="3" borderId="36" xfId="0" applyFont="1" applyFill="1" applyBorder="1" applyAlignment="1">
      <alignment horizontal="center" vertical="center" wrapText="1"/>
    </xf>
    <xf numFmtId="0" fontId="1" fillId="3" borderId="40" xfId="0" applyFont="1" applyFill="1" applyBorder="1" applyAlignment="1">
      <alignment horizontal="center" vertical="center" wrapText="1"/>
    </xf>
    <xf numFmtId="0" fontId="1" fillId="0" borderId="37" xfId="0" applyFont="1" applyBorder="1" applyAlignment="1">
      <alignment horizontal="left" vertical="center" wrapText="1"/>
    </xf>
    <xf numFmtId="0" fontId="1" fillId="0" borderId="41" xfId="0" applyFont="1" applyBorder="1" applyAlignment="1">
      <alignment horizontal="left" vertical="center" wrapText="1"/>
    </xf>
    <xf numFmtId="0" fontId="0" fillId="0" borderId="62" xfId="0" applyBorder="1" applyAlignment="1">
      <alignment horizontal="left" vertical="center"/>
    </xf>
    <xf numFmtId="0" fontId="0" fillId="0" borderId="65" xfId="0" applyBorder="1" applyAlignment="1">
      <alignment horizontal="left" vertical="center"/>
    </xf>
    <xf numFmtId="0" fontId="0" fillId="0" borderId="63" xfId="0" applyBorder="1" applyAlignment="1">
      <alignment horizontal="left" vertical="center"/>
    </xf>
    <xf numFmtId="0" fontId="5" fillId="0" borderId="77" xfId="0" applyFont="1" applyBorder="1" applyAlignment="1">
      <alignment horizontal="center" vertical="center"/>
    </xf>
    <xf numFmtId="0" fontId="5" fillId="0" borderId="28" xfId="0" applyFont="1" applyBorder="1" applyAlignment="1">
      <alignment horizontal="center" vertical="center"/>
    </xf>
    <xf numFmtId="0" fontId="5" fillId="0" borderId="78" xfId="0" applyFont="1" applyBorder="1" applyAlignment="1">
      <alignment horizontal="center" vertical="center"/>
    </xf>
    <xf numFmtId="0" fontId="5" fillId="0" borderId="20" xfId="0" applyFont="1" applyBorder="1" applyAlignment="1">
      <alignment horizontal="center" vertical="center"/>
    </xf>
    <xf numFmtId="0" fontId="2" fillId="2" borderId="12" xfId="0" applyFont="1" applyFill="1" applyBorder="1" applyAlignment="1">
      <alignment horizontal="center" vertical="center" wrapText="1"/>
    </xf>
    <xf numFmtId="0" fontId="2" fillId="2" borderId="16" xfId="0" applyFont="1" applyFill="1" applyBorder="1" applyAlignment="1">
      <alignment horizontal="center" vertical="center" wrapText="1"/>
    </xf>
    <xf numFmtId="0" fontId="2" fillId="2" borderId="13" xfId="0" applyFont="1" applyFill="1" applyBorder="1" applyAlignment="1">
      <alignment horizontal="center" vertical="center" wrapText="1"/>
    </xf>
    <xf numFmtId="0" fontId="2" fillId="2" borderId="6" xfId="0" applyFont="1" applyFill="1" applyBorder="1" applyAlignment="1">
      <alignment horizontal="center" vertical="center" wrapText="1"/>
    </xf>
    <xf numFmtId="0" fontId="1" fillId="5" borderId="24" xfId="0" applyFont="1" applyFill="1" applyBorder="1" applyAlignment="1">
      <alignment horizontal="left" vertical="center" wrapText="1" indent="1"/>
    </xf>
    <xf numFmtId="0" fontId="1" fillId="5" borderId="52" xfId="0" applyFont="1" applyFill="1" applyBorder="1" applyAlignment="1">
      <alignment horizontal="left" vertical="center" wrapText="1" indent="1"/>
    </xf>
    <xf numFmtId="0" fontId="1" fillId="5" borderId="25" xfId="0" applyFont="1" applyFill="1" applyBorder="1" applyAlignment="1">
      <alignment horizontal="left" vertical="center" wrapText="1" indent="1"/>
    </xf>
    <xf numFmtId="0" fontId="1" fillId="5" borderId="26" xfId="0" applyFont="1" applyFill="1" applyBorder="1" applyAlignment="1">
      <alignment horizontal="left" vertical="center" wrapText="1" indent="1"/>
    </xf>
    <xf numFmtId="0" fontId="16" fillId="0" borderId="6" xfId="0" applyFont="1" applyBorder="1" applyAlignment="1">
      <alignment horizontal="center" vertical="center"/>
    </xf>
    <xf numFmtId="0" fontId="28" fillId="14" borderId="16" xfId="0" applyFont="1" applyFill="1" applyBorder="1" applyAlignment="1">
      <alignment horizontal="center" vertical="center" wrapText="1"/>
    </xf>
    <xf numFmtId="0" fontId="30" fillId="2" borderId="53" xfId="0" applyFont="1" applyFill="1" applyBorder="1" applyAlignment="1">
      <alignment horizontal="center" vertical="center" wrapText="1"/>
    </xf>
    <xf numFmtId="0" fontId="30" fillId="2" borderId="104" xfId="0" applyFont="1" applyFill="1" applyBorder="1" applyAlignment="1">
      <alignment horizontal="center" vertical="center" wrapText="1"/>
    </xf>
    <xf numFmtId="0" fontId="2" fillId="2" borderId="98" xfId="0" applyFont="1" applyFill="1" applyBorder="1" applyAlignment="1">
      <alignment horizontal="center" vertical="center" wrapText="1"/>
    </xf>
    <xf numFmtId="0" fontId="2" fillId="2" borderId="0" xfId="0" applyFont="1" applyFill="1" applyAlignment="1">
      <alignment horizontal="center" vertical="center" wrapText="1"/>
    </xf>
    <xf numFmtId="0" fontId="2" fillId="2" borderId="95" xfId="0" applyFont="1" applyFill="1" applyBorder="1" applyAlignment="1">
      <alignment horizontal="center" vertical="center" wrapText="1"/>
    </xf>
    <xf numFmtId="0" fontId="5" fillId="13" borderId="27" xfId="1" applyFont="1" applyFill="1" applyBorder="1" applyAlignment="1">
      <alignment horizontal="center" vertical="center" wrapText="1"/>
    </xf>
    <xf numFmtId="0" fontId="5" fillId="13" borderId="7" xfId="1" applyFont="1" applyFill="1" applyBorder="1" applyAlignment="1">
      <alignment horizontal="center" vertical="center" wrapText="1"/>
    </xf>
    <xf numFmtId="0" fontId="5" fillId="13" borderId="19" xfId="1" applyFont="1" applyFill="1" applyBorder="1" applyAlignment="1">
      <alignment horizontal="center" vertical="center" wrapText="1"/>
    </xf>
    <xf numFmtId="0" fontId="5" fillId="13" borderId="97" xfId="1" applyFont="1" applyFill="1" applyBorder="1" applyAlignment="1">
      <alignment horizontal="center" vertical="center" wrapText="1"/>
    </xf>
    <xf numFmtId="0" fontId="5" fillId="13" borderId="11" xfId="1" applyFont="1" applyFill="1" applyBorder="1" applyAlignment="1">
      <alignment horizontal="center" vertical="center" wrapText="1"/>
    </xf>
    <xf numFmtId="0" fontId="5" fillId="13" borderId="94" xfId="1" applyFont="1" applyFill="1" applyBorder="1" applyAlignment="1">
      <alignment horizontal="center" vertical="center" wrapText="1"/>
    </xf>
    <xf numFmtId="0" fontId="5" fillId="0" borderId="8" xfId="0" applyFont="1" applyBorder="1" applyAlignment="1">
      <alignment horizontal="center" vertical="center"/>
    </xf>
    <xf numFmtId="0" fontId="5" fillId="0" borderId="9" xfId="0" applyFont="1" applyBorder="1" applyAlignment="1">
      <alignment horizontal="center" vertical="center"/>
    </xf>
    <xf numFmtId="0" fontId="5" fillId="0" borderId="4" xfId="0" applyFont="1" applyBorder="1" applyAlignment="1">
      <alignment horizontal="center" vertical="center"/>
    </xf>
    <xf numFmtId="0" fontId="0" fillId="0" borderId="62" xfId="0" applyBorder="1" applyAlignment="1">
      <alignment horizontal="left" vertical="center" wrapText="1"/>
    </xf>
    <xf numFmtId="0" fontId="0" fillId="0" borderId="65" xfId="0" applyBorder="1" applyAlignment="1">
      <alignment horizontal="left" vertical="center" wrapText="1"/>
    </xf>
    <xf numFmtId="0" fontId="0" fillId="0" borderId="63" xfId="0" applyBorder="1" applyAlignment="1">
      <alignment horizontal="left" vertical="center" wrapText="1"/>
    </xf>
    <xf numFmtId="0" fontId="0" fillId="0" borderId="66" xfId="0" applyBorder="1" applyAlignment="1">
      <alignment horizontal="left" vertical="center" wrapText="1"/>
    </xf>
    <xf numFmtId="0" fontId="0" fillId="0" borderId="61" xfId="0" applyBorder="1" applyAlignment="1">
      <alignment horizontal="left" vertical="center" wrapText="1"/>
    </xf>
    <xf numFmtId="0" fontId="0" fillId="0" borderId="56" xfId="0" applyBorder="1" applyAlignment="1">
      <alignment horizontal="left" vertical="center" wrapText="1"/>
    </xf>
    <xf numFmtId="0" fontId="0" fillId="0" borderId="59" xfId="0" applyBorder="1" applyAlignment="1">
      <alignment horizontal="left" vertical="center"/>
    </xf>
    <xf numFmtId="0" fontId="0" fillId="0" borderId="58" xfId="0" applyBorder="1" applyAlignment="1">
      <alignment horizontal="left" vertical="center" wrapText="1"/>
    </xf>
    <xf numFmtId="0" fontId="0" fillId="0" borderId="59" xfId="0" applyBorder="1" applyAlignment="1">
      <alignment horizontal="left" vertical="center" wrapText="1"/>
    </xf>
    <xf numFmtId="0" fontId="0" fillId="0" borderId="57" xfId="0" applyBorder="1" applyAlignment="1">
      <alignment horizontal="left" vertical="center" wrapText="1"/>
    </xf>
    <xf numFmtId="0" fontId="0" fillId="0" borderId="66" xfId="0" applyBorder="1" applyAlignment="1">
      <alignment horizontal="left" vertical="center"/>
    </xf>
    <xf numFmtId="0" fontId="0" fillId="0" borderId="79" xfId="0" applyBorder="1" applyAlignment="1">
      <alignment horizontal="left" vertical="center" wrapText="1"/>
    </xf>
    <xf numFmtId="0" fontId="0" fillId="0" borderId="80" xfId="0" applyBorder="1" applyAlignment="1">
      <alignment horizontal="left" vertical="center"/>
    </xf>
    <xf numFmtId="0" fontId="0" fillId="0" borderId="81" xfId="0" applyBorder="1" applyAlignment="1">
      <alignment horizontal="left" vertical="center" wrapText="1"/>
    </xf>
    <xf numFmtId="0" fontId="0" fillId="0" borderId="80" xfId="0" applyBorder="1" applyAlignment="1">
      <alignment horizontal="left" vertical="center" wrapText="1"/>
    </xf>
    <xf numFmtId="0" fontId="5" fillId="6" borderId="0" xfId="0" applyFont="1" applyFill="1" applyAlignment="1">
      <alignment horizontal="center" vertical="center"/>
    </xf>
    <xf numFmtId="0" fontId="2" fillId="2" borderId="53" xfId="0" applyFont="1" applyFill="1" applyBorder="1" applyAlignment="1">
      <alignment horizontal="center" vertical="center" wrapText="1"/>
    </xf>
    <xf numFmtId="0" fontId="2" fillId="2" borderId="104" xfId="0" applyFont="1" applyFill="1" applyBorder="1" applyAlignment="1">
      <alignment horizontal="center" vertical="center" wrapText="1"/>
    </xf>
    <xf numFmtId="0" fontId="5" fillId="6" borderId="95" xfId="0" applyFont="1" applyFill="1" applyBorder="1" applyAlignment="1">
      <alignment horizontal="center" vertical="center"/>
    </xf>
    <xf numFmtId="0" fontId="2" fillId="2" borderId="97" xfId="0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2" fillId="2" borderId="94" xfId="0" applyFont="1" applyFill="1" applyBorder="1" applyAlignment="1">
      <alignment horizontal="center" vertical="center" wrapText="1"/>
    </xf>
    <xf numFmtId="0" fontId="2" fillId="2" borderId="28" xfId="0" applyFont="1" applyFill="1" applyBorder="1" applyAlignment="1">
      <alignment horizontal="center" vertical="center" wrapText="1"/>
    </xf>
    <xf numFmtId="0" fontId="2" fillId="2" borderId="33" xfId="0" applyFont="1" applyFill="1" applyBorder="1" applyAlignment="1">
      <alignment horizontal="center" vertical="center" wrapText="1"/>
    </xf>
    <xf numFmtId="0" fontId="2" fillId="2" borderId="20" xfId="0" applyFont="1" applyFill="1" applyBorder="1" applyAlignment="1">
      <alignment horizontal="center" vertical="center" wrapText="1"/>
    </xf>
    <xf numFmtId="0" fontId="2" fillId="2" borderId="18" xfId="0" applyFont="1" applyFill="1" applyBorder="1" applyAlignment="1">
      <alignment horizontal="center" vertical="center" wrapText="1"/>
    </xf>
    <xf numFmtId="0" fontId="2" fillId="2" borderId="67" xfId="0" applyFont="1" applyFill="1" applyBorder="1" applyAlignment="1">
      <alignment horizontal="center" vertical="center" wrapText="1"/>
    </xf>
    <xf numFmtId="0" fontId="2" fillId="2" borderId="83" xfId="0" applyFont="1" applyFill="1" applyBorder="1" applyAlignment="1">
      <alignment horizontal="center" vertical="center" wrapText="1"/>
    </xf>
    <xf numFmtId="0" fontId="2" fillId="2" borderId="68" xfId="0" applyFont="1" applyFill="1" applyBorder="1" applyAlignment="1">
      <alignment horizontal="center" vertical="center" wrapText="1"/>
    </xf>
    <xf numFmtId="0" fontId="2" fillId="2" borderId="77" xfId="0" applyFont="1" applyFill="1" applyBorder="1" applyAlignment="1">
      <alignment horizontal="center" vertical="center" wrapText="1"/>
    </xf>
    <xf numFmtId="0" fontId="2" fillId="2" borderId="96" xfId="0" applyFont="1" applyFill="1" applyBorder="1" applyAlignment="1">
      <alignment horizontal="center" vertical="center" wrapText="1"/>
    </xf>
    <xf numFmtId="0" fontId="2" fillId="2" borderId="78" xfId="0" applyFont="1" applyFill="1" applyBorder="1" applyAlignment="1">
      <alignment horizontal="center" vertical="center" wrapText="1"/>
    </xf>
    <xf numFmtId="0" fontId="2" fillId="2" borderId="102" xfId="0" applyFont="1" applyFill="1" applyBorder="1" applyAlignment="1">
      <alignment horizontal="center" vertical="center" wrapText="1"/>
    </xf>
    <xf numFmtId="0" fontId="2" fillId="2" borderId="103" xfId="0" applyFont="1" applyFill="1" applyBorder="1" applyAlignment="1">
      <alignment horizontal="center" vertical="center" wrapText="1"/>
    </xf>
    <xf numFmtId="0" fontId="42" fillId="14" borderId="53" xfId="0" applyFont="1" applyFill="1" applyBorder="1" applyAlignment="1">
      <alignment horizontal="center" vertical="center" wrapText="1"/>
    </xf>
    <xf numFmtId="0" fontId="42" fillId="14" borderId="54" xfId="0" applyFont="1" applyFill="1" applyBorder="1" applyAlignment="1">
      <alignment horizontal="center" vertical="center" wrapText="1"/>
    </xf>
    <xf numFmtId="0" fontId="44" fillId="3" borderId="2" xfId="0" applyFont="1" applyFill="1" applyBorder="1" applyAlignment="1">
      <alignment horizontal="center" vertical="center"/>
    </xf>
    <xf numFmtId="0" fontId="44" fillId="3" borderId="3" xfId="0" applyFont="1" applyFill="1" applyBorder="1" applyAlignment="1">
      <alignment horizontal="center" vertical="center"/>
    </xf>
    <xf numFmtId="0" fontId="5" fillId="6" borderId="87" xfId="0" applyFont="1" applyFill="1" applyBorder="1" applyAlignment="1">
      <alignment horizontal="center" vertical="center"/>
    </xf>
    <xf numFmtId="0" fontId="5" fillId="6" borderId="88" xfId="0" applyFont="1" applyFill="1" applyBorder="1" applyAlignment="1">
      <alignment horizontal="center" vertical="center"/>
    </xf>
    <xf numFmtId="0" fontId="5" fillId="6" borderId="89" xfId="0" applyFont="1" applyFill="1" applyBorder="1" applyAlignment="1">
      <alignment horizontal="center" vertical="center"/>
    </xf>
    <xf numFmtId="0" fontId="5" fillId="6" borderId="90" xfId="0" applyFont="1" applyFill="1" applyBorder="1" applyAlignment="1">
      <alignment horizontal="center" vertical="center"/>
    </xf>
    <xf numFmtId="0" fontId="5" fillId="6" borderId="91" xfId="0" applyFont="1" applyFill="1" applyBorder="1" applyAlignment="1">
      <alignment horizontal="center" vertical="center"/>
    </xf>
    <xf numFmtId="0" fontId="5" fillId="6" borderId="5" xfId="0" applyFont="1" applyFill="1" applyBorder="1" applyAlignment="1">
      <alignment horizontal="center" vertical="center"/>
    </xf>
    <xf numFmtId="0" fontId="5" fillId="6" borderId="8" xfId="0" applyFont="1" applyFill="1" applyBorder="1" applyAlignment="1">
      <alignment horizontal="center" vertical="center"/>
    </xf>
    <xf numFmtId="0" fontId="5" fillId="6" borderId="9" xfId="0" applyFont="1" applyFill="1" applyBorder="1" applyAlignment="1">
      <alignment horizontal="center" vertical="center"/>
    </xf>
    <xf numFmtId="0" fontId="5" fillId="6" borderId="4" xfId="0" applyFont="1" applyFill="1" applyBorder="1" applyAlignment="1">
      <alignment horizontal="center" vertical="center"/>
    </xf>
    <xf numFmtId="0" fontId="44" fillId="3" borderId="6" xfId="0" applyFont="1" applyFill="1" applyBorder="1" applyAlignment="1">
      <alignment horizontal="center" vertical="center"/>
    </xf>
    <xf numFmtId="168" fontId="5" fillId="0" borderId="87" xfId="0" applyNumberFormat="1" applyFont="1" applyBorder="1" applyAlignment="1">
      <alignment horizontal="center" vertical="center"/>
    </xf>
    <xf numFmtId="168" fontId="5" fillId="0" borderId="88" xfId="0" applyNumberFormat="1" applyFont="1" applyBorder="1" applyAlignment="1">
      <alignment horizontal="center" vertical="center"/>
    </xf>
    <xf numFmtId="168" fontId="5" fillId="0" borderId="89" xfId="0" applyNumberFormat="1" applyFont="1" applyBorder="1" applyAlignment="1">
      <alignment horizontal="center" vertical="center"/>
    </xf>
    <xf numFmtId="168" fontId="5" fillId="0" borderId="90" xfId="0" applyNumberFormat="1" applyFont="1" applyBorder="1" applyAlignment="1">
      <alignment horizontal="center" vertical="center"/>
    </xf>
    <xf numFmtId="168" fontId="5" fillId="0" borderId="91" xfId="0" applyNumberFormat="1" applyFont="1" applyBorder="1" applyAlignment="1">
      <alignment horizontal="center" vertical="center"/>
    </xf>
    <xf numFmtId="168" fontId="5" fillId="0" borderId="5" xfId="0" applyNumberFormat="1" applyFont="1" applyBorder="1" applyAlignment="1">
      <alignment horizontal="center" vertical="center"/>
    </xf>
    <xf numFmtId="0" fontId="2" fillId="2" borderId="27" xfId="0" applyFont="1" applyFill="1" applyBorder="1" applyAlignment="1">
      <alignment horizontal="center" vertical="center" wrapText="1"/>
    </xf>
    <xf numFmtId="0" fontId="2" fillId="2" borderId="124" xfId="0" applyFont="1" applyFill="1" applyBorder="1" applyAlignment="1">
      <alignment horizontal="center" vertical="center" wrapText="1"/>
    </xf>
    <xf numFmtId="0" fontId="5" fillId="5" borderId="2" xfId="0" applyFont="1" applyFill="1" applyBorder="1" applyAlignment="1">
      <alignment horizontal="center" vertical="center" wrapText="1"/>
    </xf>
    <xf numFmtId="0" fontId="5" fillId="5" borderId="6" xfId="0" applyFont="1" applyFill="1" applyBorder="1" applyAlignment="1">
      <alignment horizontal="center" vertical="center" wrapText="1"/>
    </xf>
    <xf numFmtId="0" fontId="1" fillId="0" borderId="67" xfId="0" applyFont="1" applyBorder="1" applyAlignment="1">
      <alignment horizontal="left" vertical="center" wrapText="1"/>
    </xf>
    <xf numFmtId="0" fontId="1" fillId="0" borderId="83" xfId="0" applyFont="1" applyBorder="1" applyAlignment="1">
      <alignment horizontal="left" vertical="center" wrapText="1"/>
    </xf>
    <xf numFmtId="0" fontId="1" fillId="0" borderId="68" xfId="0" applyFont="1" applyBorder="1" applyAlignment="1">
      <alignment horizontal="left" vertical="center" wrapText="1"/>
    </xf>
    <xf numFmtId="0" fontId="1" fillId="3" borderId="67" xfId="0" applyFont="1" applyFill="1" applyBorder="1" applyAlignment="1">
      <alignment horizontal="left" vertical="center" wrapText="1"/>
    </xf>
    <xf numFmtId="0" fontId="1" fillId="3" borderId="83" xfId="0" applyFont="1" applyFill="1" applyBorder="1" applyAlignment="1">
      <alignment horizontal="left" vertical="center" wrapText="1"/>
    </xf>
    <xf numFmtId="0" fontId="1" fillId="3" borderId="68" xfId="0" applyFont="1" applyFill="1" applyBorder="1" applyAlignment="1">
      <alignment horizontal="left" vertical="center" wrapText="1"/>
    </xf>
    <xf numFmtId="0" fontId="1" fillId="0" borderId="73" xfId="0" applyFont="1" applyBorder="1" applyAlignment="1">
      <alignment horizontal="left" vertical="center" wrapText="1"/>
    </xf>
    <xf numFmtId="0" fontId="1" fillId="0" borderId="75" xfId="0" applyFont="1" applyBorder="1" applyAlignment="1">
      <alignment horizontal="left" vertical="center" wrapText="1"/>
    </xf>
    <xf numFmtId="0" fontId="5" fillId="5" borderId="85" xfId="0" applyFont="1" applyFill="1" applyBorder="1" applyAlignment="1">
      <alignment horizontal="center" vertical="center" wrapText="1"/>
    </xf>
    <xf numFmtId="0" fontId="5" fillId="5" borderId="82" xfId="0" applyFont="1" applyFill="1" applyBorder="1" applyAlignment="1">
      <alignment horizontal="center" vertical="center"/>
    </xf>
    <xf numFmtId="0" fontId="5" fillId="5" borderId="31" xfId="0" applyFont="1" applyFill="1" applyBorder="1" applyAlignment="1">
      <alignment horizontal="center" vertical="center"/>
    </xf>
    <xf numFmtId="0" fontId="5" fillId="5" borderId="0" xfId="0" applyFont="1" applyFill="1" applyAlignment="1">
      <alignment horizontal="center" vertical="center" wrapText="1"/>
    </xf>
    <xf numFmtId="0" fontId="1" fillId="3" borderId="67" xfId="0" applyFont="1" applyFill="1" applyBorder="1" applyAlignment="1">
      <alignment horizontal="center" vertical="center" wrapText="1"/>
    </xf>
    <xf numFmtId="0" fontId="1" fillId="3" borderId="83" xfId="0" applyFont="1" applyFill="1" applyBorder="1" applyAlignment="1">
      <alignment horizontal="center" vertical="center" wrapText="1"/>
    </xf>
    <xf numFmtId="0" fontId="1" fillId="3" borderId="68" xfId="0" applyFont="1" applyFill="1" applyBorder="1" applyAlignment="1">
      <alignment horizontal="center" vertical="center" wrapText="1"/>
    </xf>
    <xf numFmtId="0" fontId="12" fillId="6" borderId="85" xfId="0" applyFont="1" applyFill="1" applyBorder="1" applyAlignment="1">
      <alignment horizontal="center" vertical="center" wrapText="1"/>
    </xf>
    <xf numFmtId="0" fontId="5" fillId="6" borderId="82" xfId="0" applyFont="1" applyFill="1" applyBorder="1" applyAlignment="1">
      <alignment horizontal="center" vertical="center"/>
    </xf>
    <xf numFmtId="0" fontId="5" fillId="6" borderId="31" xfId="0" applyFont="1" applyFill="1" applyBorder="1" applyAlignment="1">
      <alignment horizontal="center" vertical="center"/>
    </xf>
    <xf numFmtId="0" fontId="5" fillId="5" borderId="0" xfId="0" applyFont="1" applyFill="1" applyAlignment="1">
      <alignment horizontal="center"/>
    </xf>
    <xf numFmtId="164" fontId="5" fillId="3" borderId="2" xfId="0" applyNumberFormat="1" applyFont="1" applyFill="1" applyBorder="1" applyAlignment="1">
      <alignment horizontal="right" vertical="center"/>
    </xf>
    <xf numFmtId="0" fontId="5" fillId="3" borderId="6" xfId="0" applyFont="1" applyFill="1" applyBorder="1" applyAlignment="1">
      <alignment horizontal="right" vertical="center"/>
    </xf>
    <xf numFmtId="0" fontId="5" fillId="3" borderId="3" xfId="0" applyFont="1" applyFill="1" applyBorder="1" applyAlignment="1">
      <alignment horizontal="right" vertical="center"/>
    </xf>
    <xf numFmtId="0" fontId="27" fillId="0" borderId="87" xfId="0" applyFont="1" applyBorder="1" applyAlignment="1">
      <alignment horizontal="left" vertical="center" wrapText="1" indent="2"/>
    </xf>
    <xf numFmtId="0" fontId="27" fillId="0" borderId="88" xfId="0" applyFont="1" applyBorder="1" applyAlignment="1">
      <alignment horizontal="left" vertical="center" wrapText="1" indent="2"/>
    </xf>
    <xf numFmtId="0" fontId="27" fillId="0" borderId="89" xfId="0" applyFont="1" applyBorder="1" applyAlignment="1">
      <alignment horizontal="left" vertical="center" wrapText="1" indent="2"/>
    </xf>
    <xf numFmtId="0" fontId="39" fillId="3" borderId="0" xfId="0" applyFont="1" applyFill="1" applyAlignment="1">
      <alignment horizontal="center" vertical="center" wrapText="1"/>
    </xf>
    <xf numFmtId="0" fontId="12" fillId="0" borderId="111" xfId="0" applyFont="1" applyBorder="1" applyAlignment="1">
      <alignment horizontal="left" vertical="center" wrapText="1"/>
    </xf>
    <xf numFmtId="0" fontId="0" fillId="0" borderId="0" xfId="0" applyAlignment="1">
      <alignment horizontal="left" vertical="center" wrapText="1"/>
    </xf>
    <xf numFmtId="0" fontId="0" fillId="0" borderId="112" xfId="0" applyBorder="1" applyAlignment="1">
      <alignment horizontal="left" vertical="center" wrapText="1"/>
    </xf>
    <xf numFmtId="0" fontId="0" fillId="0" borderId="113" xfId="0" applyBorder="1" applyAlignment="1">
      <alignment horizontal="left" vertical="center" wrapText="1"/>
    </xf>
    <xf numFmtId="0" fontId="0" fillId="0" borderId="114" xfId="0" applyBorder="1" applyAlignment="1">
      <alignment horizontal="left" vertical="center" wrapText="1"/>
    </xf>
    <xf numFmtId="0" fontId="0" fillId="0" borderId="115" xfId="0" applyBorder="1" applyAlignment="1">
      <alignment horizontal="left" vertical="center" wrapText="1"/>
    </xf>
    <xf numFmtId="0" fontId="12" fillId="0" borderId="109" xfId="0" applyFont="1" applyBorder="1" applyAlignment="1">
      <alignment horizontal="left" vertical="center" wrapText="1"/>
    </xf>
    <xf numFmtId="0" fontId="0" fillId="0" borderId="109" xfId="0" applyBorder="1" applyAlignment="1">
      <alignment horizontal="left" vertical="center" wrapText="1"/>
    </xf>
    <xf numFmtId="0" fontId="0" fillId="0" borderId="110" xfId="0" applyBorder="1" applyAlignment="1">
      <alignment horizontal="left" vertical="center" wrapText="1"/>
    </xf>
    <xf numFmtId="0" fontId="35" fillId="0" borderId="108" xfId="0" applyFont="1" applyBorder="1" applyAlignment="1">
      <alignment horizontal="left" vertical="center" wrapText="1" indent="2"/>
    </xf>
    <xf numFmtId="0" fontId="35" fillId="0" borderId="109" xfId="0" applyFont="1" applyBorder="1" applyAlignment="1">
      <alignment horizontal="left" vertical="center" wrapText="1" indent="2"/>
    </xf>
    <xf numFmtId="0" fontId="35" fillId="0" borderId="110" xfId="0" applyFont="1" applyBorder="1" applyAlignment="1">
      <alignment horizontal="left" vertical="center" wrapText="1" indent="2"/>
    </xf>
    <xf numFmtId="0" fontId="35" fillId="0" borderId="113" xfId="0" applyFont="1" applyBorder="1" applyAlignment="1">
      <alignment horizontal="left" vertical="center" wrapText="1" indent="2"/>
    </xf>
    <xf numFmtId="0" fontId="35" fillId="0" borderId="114" xfId="0" applyFont="1" applyBorder="1" applyAlignment="1">
      <alignment horizontal="left" vertical="center" wrapText="1" indent="2"/>
    </xf>
    <xf numFmtId="0" fontId="35" fillId="0" borderId="115" xfId="0" applyFont="1" applyBorder="1" applyAlignment="1">
      <alignment horizontal="left" vertical="center" wrapText="1" indent="2"/>
    </xf>
    <xf numFmtId="0" fontId="17" fillId="0" borderId="111" xfId="0" applyFont="1" applyBorder="1" applyAlignment="1">
      <alignment horizontal="center" vertical="center"/>
    </xf>
    <xf numFmtId="0" fontId="5" fillId="7" borderId="0" xfId="0" applyFont="1" applyFill="1" applyAlignment="1">
      <alignment horizontal="center"/>
    </xf>
    <xf numFmtId="0" fontId="16" fillId="0" borderId="111" xfId="0" applyFont="1" applyBorder="1" applyAlignment="1">
      <alignment horizontal="center" vertical="center"/>
    </xf>
    <xf numFmtId="0" fontId="16" fillId="10" borderId="0" xfId="0" applyFont="1" applyFill="1" applyAlignment="1">
      <alignment horizontal="center"/>
    </xf>
    <xf numFmtId="0" fontId="0" fillId="0" borderId="0" xfId="0" applyAlignment="1">
      <alignment horizontal="center"/>
    </xf>
    <xf numFmtId="0" fontId="0" fillId="0" borderId="111" xfId="0" applyBorder="1" applyAlignment="1">
      <alignment horizontal="left" vertical="center"/>
    </xf>
    <xf numFmtId="0" fontId="0" fillId="0" borderId="0" xfId="0" applyAlignment="1">
      <alignment horizontal="left" vertical="center"/>
    </xf>
    <xf numFmtId="0" fontId="0" fillId="0" borderId="112" xfId="0" applyBorder="1" applyAlignment="1">
      <alignment horizontal="left" vertical="center"/>
    </xf>
    <xf numFmtId="0" fontId="0" fillId="0" borderId="113" xfId="0" applyBorder="1" applyAlignment="1">
      <alignment horizontal="left" vertical="center"/>
    </xf>
    <xf numFmtId="0" fontId="0" fillId="0" borderId="114" xfId="0" applyBorder="1" applyAlignment="1">
      <alignment horizontal="left" vertical="center"/>
    </xf>
    <xf numFmtId="0" fontId="0" fillId="0" borderId="115" xfId="0" applyBorder="1" applyAlignment="1">
      <alignment horizontal="left" vertical="center"/>
    </xf>
    <xf numFmtId="0" fontId="36" fillId="3" borderId="120" xfId="0" applyFont="1" applyFill="1" applyBorder="1" applyAlignment="1">
      <alignment horizontal="center"/>
    </xf>
    <xf numFmtId="0" fontId="36" fillId="3" borderId="122" xfId="0" applyFont="1" applyFill="1" applyBorder="1" applyAlignment="1">
      <alignment horizontal="center"/>
    </xf>
    <xf numFmtId="0" fontId="36" fillId="3" borderId="121" xfId="0" applyFont="1" applyFill="1" applyBorder="1" applyAlignment="1">
      <alignment horizontal="center"/>
    </xf>
    <xf numFmtId="0" fontId="0" fillId="0" borderId="0" xfId="0" applyAlignment="1">
      <alignment horizontal="center" vertical="center"/>
    </xf>
    <xf numFmtId="0" fontId="0" fillId="0" borderId="114" xfId="0" applyBorder="1" applyAlignment="1">
      <alignment horizontal="center" vertical="center"/>
    </xf>
    <xf numFmtId="0" fontId="0" fillId="0" borderId="112" xfId="0" applyBorder="1" applyAlignment="1">
      <alignment horizontal="center" vertical="center"/>
    </xf>
    <xf numFmtId="0" fontId="0" fillId="0" borderId="115" xfId="0" applyBorder="1" applyAlignment="1">
      <alignment horizontal="center" vertical="center"/>
    </xf>
    <xf numFmtId="0" fontId="27" fillId="0" borderId="90" xfId="0" applyFont="1" applyBorder="1" applyAlignment="1">
      <alignment horizontal="left" vertical="center" wrapText="1" indent="2"/>
    </xf>
    <xf numFmtId="0" fontId="27" fillId="0" borderId="91" xfId="0" applyFont="1" applyBorder="1" applyAlignment="1">
      <alignment horizontal="left" vertical="center" wrapText="1" indent="2"/>
    </xf>
    <xf numFmtId="0" fontId="27" fillId="0" borderId="5" xfId="0" applyFont="1" applyBorder="1" applyAlignment="1">
      <alignment horizontal="left" vertical="center" wrapText="1" indent="2"/>
    </xf>
    <xf numFmtId="0" fontId="12" fillId="0" borderId="0" xfId="0" applyFont="1" applyAlignment="1">
      <alignment horizontal="left" vertical="center" wrapText="1"/>
    </xf>
    <xf numFmtId="0" fontId="5" fillId="6" borderId="11" xfId="0" applyFont="1" applyFill="1" applyBorder="1" applyAlignment="1">
      <alignment horizontal="center"/>
    </xf>
    <xf numFmtId="0" fontId="5" fillId="6" borderId="0" xfId="0" applyFont="1" applyFill="1" applyAlignment="1">
      <alignment horizontal="center"/>
    </xf>
    <xf numFmtId="0" fontId="0" fillId="6" borderId="11" xfId="0" applyFill="1" applyBorder="1" applyAlignment="1">
      <alignment horizontal="center"/>
    </xf>
    <xf numFmtId="0" fontId="0" fillId="6" borderId="0" xfId="0" applyFill="1" applyAlignment="1">
      <alignment horizontal="center"/>
    </xf>
  </cellXfs>
  <cellStyles count="2">
    <cellStyle name="Hivatkozás" xfId="1" builtinId="8"/>
    <cellStyle name="Normál" xfId="0" builtinId="0"/>
  </cellStyles>
  <dxfs count="34">
    <dxf>
      <font>
        <b/>
        <i val="0"/>
        <color rgb="FF006100"/>
      </font>
      <fill>
        <patternFill>
          <bgColor rgb="FFC6EFCE"/>
        </patternFill>
      </fill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theme="6"/>
      </font>
    </dxf>
    <dxf>
      <fill>
        <patternFill>
          <bgColor theme="9" tint="0.79998168889431442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C00000"/>
      </font>
      <fill>
        <patternFill patternType="none">
          <bgColor auto="1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FFFF00"/>
      </font>
      <fill>
        <patternFill>
          <bgColor rgb="FFC00000"/>
        </patternFill>
      </fill>
    </dxf>
    <dxf>
      <font>
        <b/>
        <i val="0"/>
        <color theme="0"/>
      </font>
      <fill>
        <patternFill>
          <bgColor rgb="FFC00000"/>
        </patternFill>
      </fill>
    </dxf>
    <dxf>
      <font>
        <b/>
        <i val="0"/>
        <color theme="0"/>
      </font>
      <fill>
        <patternFill>
          <bgColor rgb="FFC00000"/>
        </patternFill>
      </fill>
    </dxf>
    <dxf>
      <font>
        <b/>
        <i val="0"/>
        <color rgb="FF9C0006"/>
      </font>
      <fill>
        <patternFill>
          <bgColor rgb="FFFFC7CE"/>
        </patternFill>
      </fill>
    </dxf>
    <dxf>
      <font>
        <b/>
        <i val="0"/>
        <color theme="0"/>
      </font>
      <fill>
        <patternFill>
          <bgColor rgb="FFC00000"/>
        </patternFill>
      </fill>
    </dxf>
    <dxf>
      <fill>
        <patternFill>
          <bgColor theme="1" tint="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ont>
        <b/>
        <i val="0"/>
        <color rgb="FFC00000"/>
      </font>
      <fill>
        <patternFill>
          <bgColor theme="5" tint="0.79998168889431442"/>
        </patternFill>
      </fill>
    </dxf>
    <dxf>
      <font>
        <b/>
        <i val="0"/>
        <color rgb="FFC00000"/>
      </font>
      <fill>
        <patternFill>
          <bgColor theme="5" tint="0.79998168889431442"/>
        </patternFill>
      </fill>
    </dxf>
    <dxf>
      <font>
        <b/>
        <i val="0"/>
        <color rgb="FFC00000"/>
      </font>
      <fill>
        <patternFill>
          <bgColor theme="5" tint="0.79998168889431442"/>
        </patternFill>
      </fill>
    </dxf>
    <dxf>
      <font>
        <b/>
        <i val="0"/>
        <color rgb="FFC00000"/>
      </font>
      <fill>
        <patternFill>
          <bgColor theme="5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theme="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</font>
    </dxf>
    <dxf>
      <font>
        <color theme="0"/>
      </font>
    </dxf>
    <dxf>
      <font>
        <b/>
        <i val="0"/>
        <color rgb="FFFF0000"/>
      </font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18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onnections" Target="connections.xml"/><Relationship Id="rId1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customXml" Target="../customXml/item4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hu-H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doughnut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7382-4119-AD8C-A2D7AE041188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4-7382-4119-AD8C-A2D7AE041188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7382-4119-AD8C-A2D7AE041188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7382-4119-AD8C-A2D7AE041188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2-7382-4119-AD8C-A2D7AE041188}"/>
              </c:ext>
            </c:extLst>
          </c:dPt>
          <c:dLbls>
            <c:dLbl>
              <c:idx val="0"/>
              <c:layout>
                <c:manualLayout>
                  <c:x val="0.22393033436300105"/>
                  <c:y val="-0.20242490522018081"/>
                </c:manualLayout>
              </c:layout>
              <c:showLegendKey val="0"/>
              <c:showVal val="1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30455511811023622"/>
                      <c:h val="0.23064814814814816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5-7382-4119-AD8C-A2D7AE041188}"/>
                </c:ext>
              </c:extLst>
            </c:dLbl>
            <c:dLbl>
              <c:idx val="1"/>
              <c:layout>
                <c:manualLayout>
                  <c:x val="0.30206385183574724"/>
                  <c:y val="9.8757655293088359E-2"/>
                </c:manualLayout>
              </c:layout>
              <c:showLegendKey val="0"/>
              <c:showVal val="1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29973468941382325"/>
                      <c:h val="0.2399074074074074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4-7382-4119-AD8C-A2D7AE041188}"/>
                </c:ext>
              </c:extLst>
            </c:dLbl>
            <c:dLbl>
              <c:idx val="2"/>
              <c:layout>
                <c:manualLayout>
                  <c:x val="-0.22248263675366606"/>
                  <c:y val="0.32451990376202977"/>
                </c:manualLayout>
              </c:layout>
              <c:showLegendKey val="0"/>
              <c:showVal val="1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24992918223533397"/>
                      <c:h val="0.20281350247885682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3-7382-4119-AD8C-A2D7AE041188}"/>
                </c:ext>
              </c:extLst>
            </c:dLbl>
            <c:dLbl>
              <c:idx val="3"/>
              <c:layout>
                <c:manualLayout>
                  <c:x val="-0.22093704399905734"/>
                  <c:y val="-0.18450422863808691"/>
                </c:manualLayout>
              </c:layout>
              <c:showLegendKey val="0"/>
              <c:showVal val="1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32473468941382327"/>
                      <c:h val="0.2389585156022164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1-7382-4119-AD8C-A2D7AE041188}"/>
                </c:ext>
              </c:extLst>
            </c:dLbl>
            <c:dLbl>
              <c:idx val="4"/>
              <c:layout>
                <c:manualLayout>
                  <c:x val="3.6111111111111163E-2"/>
                  <c:y val="0.28240740740740738"/>
                </c:manualLayout>
              </c:layout>
              <c:showLegendKey val="0"/>
              <c:showVal val="1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7382-4119-AD8C-A2D7AE041188}"/>
                </c:ext>
              </c:extLst>
            </c:dLbl>
            <c:spPr>
              <a:pattFill prst="pct75">
                <a:fgClr>
                  <a:schemeClr val="dk1">
                    <a:lumMod val="75000"/>
                    <a:lumOff val="25000"/>
                  </a:schemeClr>
                </a:fgClr>
                <a:bgClr>
                  <a:schemeClr val="dk1">
                    <a:lumMod val="65000"/>
                    <a:lumOff val="35000"/>
                  </a:scheme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clip" horzOverflow="clip" vert="horz" wrap="square" lIns="36576" tIns="18288" rIns="36576" bIns="18288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hu-HU"/>
              </a:p>
            </c:txPr>
            <c:showLegendKey val="0"/>
            <c:showVal val="1"/>
            <c:showCatName val="1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roundRect">
                    <a:avLst/>
                  </a:prstGeom>
                  <a:pattFill prst="pct75">
                    <a:fgClr>
                      <a:schemeClr val="dk1">
                        <a:lumMod val="75000"/>
                        <a:lumOff val="25000"/>
                      </a:schemeClr>
                    </a:fgClr>
                    <a:bgClr>
                      <a:schemeClr val="dk1">
                        <a:lumMod val="65000"/>
                        <a:lumOff val="35000"/>
                      </a:schemeClr>
                    </a:bgClr>
                  </a:pattFill>
                  <a:ln>
                    <a:noFill/>
                  </a:ln>
                </c15:spPr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Költségvetés!$B$4:$B$12</c15:sqref>
                  </c15:fullRef>
                </c:ext>
              </c:extLst>
              <c:f>(Költségvetés!$B$4,Költségvetés!$B$6,Költségvetés!$B$8,Költségvetés!$B$10,Költségvetés!$B$12)</c:f>
              <c:strCache>
                <c:ptCount val="5"/>
                <c:pt idx="0">
                  <c:v>Hardver beszerzések, összesen:</c:v>
                </c:pt>
                <c:pt idx="1">
                  <c:v>Szoftver beszerzések, összesen:</c:v>
                </c:pt>
                <c:pt idx="2">
                  <c:v>Képzés összesen:</c:v>
                </c:pt>
                <c:pt idx="3">
                  <c:v>Szolgáltatások, összesen:</c:v>
                </c:pt>
                <c:pt idx="4">
                  <c:v>Egyéb költségek, összesen: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Költségvetés!$F$4:$F$12</c15:sqref>
                  </c15:fullRef>
                </c:ext>
              </c:extLst>
              <c:f>(Költségvetés!$F$4,Költségvetés!$F$6,Költségvetés!$F$8,Költségvetés!$F$10,Költségvetés!$F$12)</c:f>
              <c:numCache>
                <c:formatCode>General</c:formatCode>
                <c:ptCount val="5"/>
                <c:pt idx="0" formatCode="#\ ##0\ &quot;Ft&quot;">
                  <c:v>1729800</c:v>
                </c:pt>
                <c:pt idx="1" formatCode="#\ ##0\ &quot;Ft&quot;">
                  <c:v>5039400</c:v>
                </c:pt>
                <c:pt idx="2" formatCode="#\ ##0\ &quot;Ft&quot;">
                  <c:v>374500</c:v>
                </c:pt>
                <c:pt idx="3" formatCode="#\ ##0\ &quot;Ft&quot;">
                  <c:v>3543400</c:v>
                </c:pt>
                <c:pt idx="4" formatCode="#\ ##0\ &quot;Ft&quot;">
                  <c:v>748097.00000000012</c:v>
                </c:pt>
              </c:numCache>
            </c:numRef>
          </c:val>
          <c:extLst>
            <c:ext xmlns:c15="http://schemas.microsoft.com/office/drawing/2012/chart" uri="{02D57815-91ED-43cb-92C2-25804820EDAC}">
              <c15:categoryFilterExceptions/>
            </c:ext>
            <c:ext xmlns:c16="http://schemas.microsoft.com/office/drawing/2014/chart" uri="{C3380CC4-5D6E-409C-BE32-E72D297353CC}">
              <c16:uniqueId val="{00000000-7382-4119-AD8C-A2D7AE041188}"/>
            </c:ext>
          </c:extLst>
        </c:ser>
        <c:dLbls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  <c:holeSize val="50"/>
      </c:doughnutChart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hu-HU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3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trlProps/ctrlProp1.xml><?xml version="1.0" encoding="utf-8"?>
<formControlPr xmlns="http://schemas.microsoft.com/office/spreadsheetml/2009/9/main" objectType="CheckBox" fmlaLink="$I$10" lockText="1" noThreeD="1"/>
</file>

<file path=xl/ctrlProps/ctrlProp2.xml><?xml version="1.0" encoding="utf-8"?>
<formControlPr xmlns="http://schemas.microsoft.com/office/spreadsheetml/2009/9/main" objectType="CheckBox" checked="Checked" fmlaLink="$I$12" lockText="1" noThreeD="1"/>
</file>

<file path=xl/ctrlProps/ctrlProp3.xml><?xml version="1.0" encoding="utf-8"?>
<formControlPr xmlns="http://schemas.microsoft.com/office/spreadsheetml/2009/9/main" objectType="CheckBox" checked="Checked" fmlaLink="$I$2" lockText="1" noThreeD="1"/>
</file>

<file path=xl/ctrlProps/ctrlProp4.xml><?xml version="1.0" encoding="utf-8"?>
<formControlPr xmlns="http://schemas.microsoft.com/office/spreadsheetml/2009/9/main" objectType="CheckBox" checked="Checked" fmlaLink="$I$22" lockText="1" noThreeD="1"/>
</file>

<file path=xl/ctrlProps/ctrlProp5.xml><?xml version="1.0" encoding="utf-8"?>
<formControlPr xmlns="http://schemas.microsoft.com/office/spreadsheetml/2009/9/main" objectType="CheckBox" fmlaLink="$I$23" lockText="1" noThreeD="1"/>
</file>

<file path=xl/ctrlProps/ctrlProp6.xml><?xml version="1.0" encoding="utf-8"?>
<formControlPr xmlns="http://schemas.microsoft.com/office/spreadsheetml/2009/9/main" objectType="CheckBox" checked="Checked" fmlaLink="$I$24" lockText="1" noThreeD="1"/>
</file>

<file path=xl/ctrlProps/ctrlProp7.xml><?xml version="1.0" encoding="utf-8"?>
<formControlPr xmlns="http://schemas.microsoft.com/office/spreadsheetml/2009/9/main" objectType="CheckBox" fmlaLink="$I$25" lockText="1" noThreeD="1"/>
</file>

<file path=xl/ctrlProps/ctrlProp8.xml><?xml version="1.0" encoding="utf-8"?>
<formControlPr xmlns="http://schemas.microsoft.com/office/spreadsheetml/2009/9/main" objectType="CheckBox" fmlaLink="$I$26" lockText="1" noThreeD="1"/>
</file>

<file path=xl/ctrlProps/ctrlProp9.xml><?xml version="1.0" encoding="utf-8"?>
<formControlPr xmlns="http://schemas.microsoft.com/office/spreadsheetml/2009/9/main" objectType="CheckBox" fmlaLink="$I$27" lockText="1" noThreeD="1"/>
</file>

<file path=xl/ctrlProps/ctrlProp10.xml><?xml version="1.0" encoding="utf-8"?>
<formControlPr xmlns="http://schemas.microsoft.com/office/spreadsheetml/2009/9/main" objectType="CheckBox" fmlaLink="$I$28" lockText="1" noThreeD="1"/>
</file>

<file path=xl/ctrlProps/ctrlProp11.xml><?xml version="1.0" encoding="utf-8"?>
<formControlPr xmlns="http://schemas.microsoft.com/office/spreadsheetml/2009/9/main" objectType="CheckBox" fmlaLink="$I$29" lockText="1" noThreeD="1"/>
</file>

<file path=xl/ctrlProps/ctrlProp12.xml><?xml version="1.0" encoding="utf-8"?>
<formControlPr xmlns="http://schemas.microsoft.com/office/spreadsheetml/2009/9/main" objectType="CheckBox" fmlaLink="$I$30" lockText="1" noThreeD="1"/>
</file>

<file path=xl/ctrlProps/ctrlProp13.xml><?xml version="1.0" encoding="utf-8"?>
<formControlPr xmlns="http://schemas.microsoft.com/office/spreadsheetml/2009/9/main" objectType="CheckBox" fmlaLink="$I$31" lockText="1" noThreeD="1"/>
</file>

<file path=xl/ctrlProps/ctrlProp14.xml><?xml version="1.0" encoding="utf-8"?>
<formControlPr xmlns="http://schemas.microsoft.com/office/spreadsheetml/2009/9/main" objectType="CheckBox" fmlaLink="$I$32" lockText="1" noThreeD="1"/>
</file>

<file path=xl/ctrlProps/ctrlProp15.xml><?xml version="1.0" encoding="utf-8"?>
<formControlPr xmlns="http://schemas.microsoft.com/office/spreadsheetml/2009/9/main" objectType="CheckBox" fmlaLink="$I$33" lockText="1" noThreeD="1"/>
</file>

<file path=xl/ctrlProps/ctrlProp16.xml><?xml version="1.0" encoding="utf-8"?>
<formControlPr xmlns="http://schemas.microsoft.com/office/spreadsheetml/2009/9/main" objectType="CheckBox" fmlaLink="$I$34" lockText="1" noThreeD="1"/>
</file>

<file path=xl/ctrlProps/ctrlProp17.xml><?xml version="1.0" encoding="utf-8"?>
<formControlPr xmlns="http://schemas.microsoft.com/office/spreadsheetml/2009/9/main" objectType="CheckBox" fmlaLink="$I$35" lockText="1" noThreeD="1"/>
</file>

<file path=xl/ctrlProps/ctrlProp18.xml><?xml version="1.0" encoding="utf-8"?>
<formControlPr xmlns="http://schemas.microsoft.com/office/spreadsheetml/2009/9/main" objectType="CheckBox" fmlaLink="$I$36" lockText="1" noThreeD="1"/>
</file>

<file path=xl/ctrlProps/ctrlProp19.xml><?xml version="1.0" encoding="utf-8"?>
<formControlPr xmlns="http://schemas.microsoft.com/office/spreadsheetml/2009/9/main" objectType="CheckBox" fmlaLink="$I$37" lockText="1" noThreeD="1"/>
</file>

<file path=xl/ctrlProps/ctrlProp20.xml><?xml version="1.0" encoding="utf-8"?>
<formControlPr xmlns="http://schemas.microsoft.com/office/spreadsheetml/2009/9/main" objectType="CheckBox" fmlaLink="$I$38" lockText="1" noThreeD="1"/>
</file>

<file path=xl/ctrlProps/ctrlProp21.xml><?xml version="1.0" encoding="utf-8"?>
<formControlPr xmlns="http://schemas.microsoft.com/office/spreadsheetml/2009/9/main" objectType="CheckBox" fmlaLink="$I$39" lockText="1" noThreeD="1"/>
</file>

<file path=xl/ctrlProps/ctrlProp22.xml><?xml version="1.0" encoding="utf-8"?>
<formControlPr xmlns="http://schemas.microsoft.com/office/spreadsheetml/2009/9/main" objectType="CheckBox" fmlaLink="$I$40" lockText="1" noThreeD="1"/>
</file>

<file path=xl/ctrlProps/ctrlProp23.xml><?xml version="1.0" encoding="utf-8"?>
<formControlPr xmlns="http://schemas.microsoft.com/office/spreadsheetml/2009/9/main" objectType="CheckBox" fmlaLink="$I$41" lockText="1" noThreeD="1"/>
</file>

<file path=xl/ctrlProps/ctrlProp24.xml><?xml version="1.0" encoding="utf-8"?>
<formControlPr xmlns="http://schemas.microsoft.com/office/spreadsheetml/2009/9/main" objectType="CheckBox" fmlaLink="$I$42" lockText="1" noThreeD="1"/>
</file>

<file path=xl/ctrlProps/ctrlProp25.xml><?xml version="1.0" encoding="utf-8"?>
<formControlPr xmlns="http://schemas.microsoft.com/office/spreadsheetml/2009/9/main" objectType="CheckBox" fmlaLink="$I$43" lockText="1" noThreeD="1"/>
</file>

<file path=xl/ctrlProps/ctrlProp26.xml><?xml version="1.0" encoding="utf-8"?>
<formControlPr xmlns="http://schemas.microsoft.com/office/spreadsheetml/2009/9/main" objectType="CheckBox" fmlaLink="$I$44" lockText="1" noThreeD="1"/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palyazat.gov.hu/letoltes/69a1cc283326721ff2d1a0c9" TargetMode="Externa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635000</xdr:colOff>
          <xdr:row>8</xdr:row>
          <xdr:rowOff>152400</xdr:rowOff>
        </xdr:from>
        <xdr:to>
          <xdr:col>7</xdr:col>
          <xdr:colOff>342900</xdr:colOff>
          <xdr:row>10</xdr:row>
          <xdr:rowOff>25400</xdr:rowOff>
        </xdr:to>
        <xdr:sp macro="" textlink="">
          <xdr:nvSpPr>
            <xdr:cNvPr id="10241" name="Check Box 1" hidden="1">
              <a:extLst>
                <a:ext uri="{63B3BB69-23CF-44E3-9099-C40C66FF867C}">
                  <a14:compatExt spid="_x0000_s10241"/>
                </a:ext>
                <a:ext uri="{FF2B5EF4-FFF2-40B4-BE49-F238E27FC236}">
                  <a16:creationId xmlns:a16="http://schemas.microsoft.com/office/drawing/2014/main" id="{00000000-0008-0000-0000-0000012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635000</xdr:colOff>
          <xdr:row>10</xdr:row>
          <xdr:rowOff>152400</xdr:rowOff>
        </xdr:from>
        <xdr:to>
          <xdr:col>7</xdr:col>
          <xdr:colOff>342900</xdr:colOff>
          <xdr:row>12</xdr:row>
          <xdr:rowOff>25400</xdr:rowOff>
        </xdr:to>
        <xdr:sp macro="" textlink="">
          <xdr:nvSpPr>
            <xdr:cNvPr id="10243" name="Check Box 3" hidden="1">
              <a:extLst>
                <a:ext uri="{63B3BB69-23CF-44E3-9099-C40C66FF867C}">
                  <a14:compatExt spid="_x0000_s10243"/>
                </a:ext>
                <a:ext uri="{FF2B5EF4-FFF2-40B4-BE49-F238E27FC236}">
                  <a16:creationId xmlns:a16="http://schemas.microsoft.com/office/drawing/2014/main" id="{00000000-0008-0000-0000-0000032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635000</xdr:colOff>
          <xdr:row>0</xdr:row>
          <xdr:rowOff>177800</xdr:rowOff>
        </xdr:from>
        <xdr:to>
          <xdr:col>7</xdr:col>
          <xdr:colOff>342900</xdr:colOff>
          <xdr:row>2</xdr:row>
          <xdr:rowOff>50800</xdr:rowOff>
        </xdr:to>
        <xdr:sp macro="" textlink="">
          <xdr:nvSpPr>
            <xdr:cNvPr id="10244" name="Check Box 4" hidden="1">
              <a:extLst>
                <a:ext uri="{63B3BB69-23CF-44E3-9099-C40C66FF867C}">
                  <a14:compatExt spid="_x0000_s10244"/>
                </a:ext>
                <a:ext uri="{FF2B5EF4-FFF2-40B4-BE49-F238E27FC236}">
                  <a16:creationId xmlns:a16="http://schemas.microsoft.com/office/drawing/2014/main" id="{00000000-0008-0000-0000-0000042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266700</xdr:colOff>
          <xdr:row>21</xdr:row>
          <xdr:rowOff>88900</xdr:rowOff>
        </xdr:from>
        <xdr:to>
          <xdr:col>7</xdr:col>
          <xdr:colOff>635000</xdr:colOff>
          <xdr:row>21</xdr:row>
          <xdr:rowOff>330200</xdr:rowOff>
        </xdr:to>
        <xdr:sp macro="" textlink="">
          <xdr:nvSpPr>
            <xdr:cNvPr id="10268" name="Check Box 28" hidden="1">
              <a:extLst>
                <a:ext uri="{63B3BB69-23CF-44E3-9099-C40C66FF867C}">
                  <a14:compatExt spid="_x0000_s10268"/>
                </a:ext>
                <a:ext uri="{FF2B5EF4-FFF2-40B4-BE49-F238E27FC236}">
                  <a16:creationId xmlns:a16="http://schemas.microsoft.com/office/drawing/2014/main" id="{00000000-0008-0000-0000-00001C2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266700</xdr:colOff>
          <xdr:row>22</xdr:row>
          <xdr:rowOff>88900</xdr:rowOff>
        </xdr:from>
        <xdr:to>
          <xdr:col>7</xdr:col>
          <xdr:colOff>635000</xdr:colOff>
          <xdr:row>22</xdr:row>
          <xdr:rowOff>330200</xdr:rowOff>
        </xdr:to>
        <xdr:sp macro="" textlink="">
          <xdr:nvSpPr>
            <xdr:cNvPr id="10269" name="Check Box 29" hidden="1">
              <a:extLst>
                <a:ext uri="{63B3BB69-23CF-44E3-9099-C40C66FF867C}">
                  <a14:compatExt spid="_x0000_s10269"/>
                </a:ext>
                <a:ext uri="{FF2B5EF4-FFF2-40B4-BE49-F238E27FC236}">
                  <a16:creationId xmlns:a16="http://schemas.microsoft.com/office/drawing/2014/main" id="{00000000-0008-0000-0000-00001D2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266700</xdr:colOff>
          <xdr:row>23</xdr:row>
          <xdr:rowOff>88900</xdr:rowOff>
        </xdr:from>
        <xdr:to>
          <xdr:col>7</xdr:col>
          <xdr:colOff>635000</xdr:colOff>
          <xdr:row>23</xdr:row>
          <xdr:rowOff>330200</xdr:rowOff>
        </xdr:to>
        <xdr:sp macro="" textlink="">
          <xdr:nvSpPr>
            <xdr:cNvPr id="10270" name="Check Box 30" hidden="1">
              <a:extLst>
                <a:ext uri="{63B3BB69-23CF-44E3-9099-C40C66FF867C}">
                  <a14:compatExt spid="_x0000_s10270"/>
                </a:ext>
                <a:ext uri="{FF2B5EF4-FFF2-40B4-BE49-F238E27FC236}">
                  <a16:creationId xmlns:a16="http://schemas.microsoft.com/office/drawing/2014/main" id="{00000000-0008-0000-0000-00001E2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266700</xdr:colOff>
          <xdr:row>24</xdr:row>
          <xdr:rowOff>88900</xdr:rowOff>
        </xdr:from>
        <xdr:to>
          <xdr:col>7</xdr:col>
          <xdr:colOff>635000</xdr:colOff>
          <xdr:row>24</xdr:row>
          <xdr:rowOff>330200</xdr:rowOff>
        </xdr:to>
        <xdr:sp macro="" textlink="">
          <xdr:nvSpPr>
            <xdr:cNvPr id="10271" name="Check Box 31" hidden="1">
              <a:extLst>
                <a:ext uri="{63B3BB69-23CF-44E3-9099-C40C66FF867C}">
                  <a14:compatExt spid="_x0000_s10271"/>
                </a:ext>
                <a:ext uri="{FF2B5EF4-FFF2-40B4-BE49-F238E27FC236}">
                  <a16:creationId xmlns:a16="http://schemas.microsoft.com/office/drawing/2014/main" id="{00000000-0008-0000-0000-00001F2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266700</xdr:colOff>
          <xdr:row>25</xdr:row>
          <xdr:rowOff>88900</xdr:rowOff>
        </xdr:from>
        <xdr:to>
          <xdr:col>7</xdr:col>
          <xdr:colOff>635000</xdr:colOff>
          <xdr:row>25</xdr:row>
          <xdr:rowOff>330200</xdr:rowOff>
        </xdr:to>
        <xdr:sp macro="" textlink="">
          <xdr:nvSpPr>
            <xdr:cNvPr id="10272" name="Check Box 32" hidden="1">
              <a:extLst>
                <a:ext uri="{63B3BB69-23CF-44E3-9099-C40C66FF867C}">
                  <a14:compatExt spid="_x0000_s10272"/>
                </a:ext>
                <a:ext uri="{FF2B5EF4-FFF2-40B4-BE49-F238E27FC236}">
                  <a16:creationId xmlns:a16="http://schemas.microsoft.com/office/drawing/2014/main" id="{00000000-0008-0000-0000-0000202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266700</xdr:colOff>
          <xdr:row>26</xdr:row>
          <xdr:rowOff>88900</xdr:rowOff>
        </xdr:from>
        <xdr:to>
          <xdr:col>7</xdr:col>
          <xdr:colOff>635000</xdr:colOff>
          <xdr:row>26</xdr:row>
          <xdr:rowOff>330200</xdr:rowOff>
        </xdr:to>
        <xdr:sp macro="" textlink="">
          <xdr:nvSpPr>
            <xdr:cNvPr id="10273" name="Check Box 33" hidden="1">
              <a:extLst>
                <a:ext uri="{63B3BB69-23CF-44E3-9099-C40C66FF867C}">
                  <a14:compatExt spid="_x0000_s10273"/>
                </a:ext>
                <a:ext uri="{FF2B5EF4-FFF2-40B4-BE49-F238E27FC236}">
                  <a16:creationId xmlns:a16="http://schemas.microsoft.com/office/drawing/2014/main" id="{00000000-0008-0000-0000-0000212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266700</xdr:colOff>
          <xdr:row>27</xdr:row>
          <xdr:rowOff>88900</xdr:rowOff>
        </xdr:from>
        <xdr:to>
          <xdr:col>7</xdr:col>
          <xdr:colOff>635000</xdr:colOff>
          <xdr:row>27</xdr:row>
          <xdr:rowOff>330200</xdr:rowOff>
        </xdr:to>
        <xdr:sp macro="" textlink="">
          <xdr:nvSpPr>
            <xdr:cNvPr id="10274" name="Check Box 34" hidden="1">
              <a:extLst>
                <a:ext uri="{63B3BB69-23CF-44E3-9099-C40C66FF867C}">
                  <a14:compatExt spid="_x0000_s10274"/>
                </a:ext>
                <a:ext uri="{FF2B5EF4-FFF2-40B4-BE49-F238E27FC236}">
                  <a16:creationId xmlns:a16="http://schemas.microsoft.com/office/drawing/2014/main" id="{00000000-0008-0000-0000-0000222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266700</xdr:colOff>
          <xdr:row>28</xdr:row>
          <xdr:rowOff>88900</xdr:rowOff>
        </xdr:from>
        <xdr:to>
          <xdr:col>7</xdr:col>
          <xdr:colOff>635000</xdr:colOff>
          <xdr:row>28</xdr:row>
          <xdr:rowOff>330200</xdr:rowOff>
        </xdr:to>
        <xdr:sp macro="" textlink="">
          <xdr:nvSpPr>
            <xdr:cNvPr id="10275" name="Check Box 35" hidden="1">
              <a:extLst>
                <a:ext uri="{63B3BB69-23CF-44E3-9099-C40C66FF867C}">
                  <a14:compatExt spid="_x0000_s10275"/>
                </a:ext>
                <a:ext uri="{FF2B5EF4-FFF2-40B4-BE49-F238E27FC236}">
                  <a16:creationId xmlns:a16="http://schemas.microsoft.com/office/drawing/2014/main" id="{00000000-0008-0000-0000-0000232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266700</xdr:colOff>
          <xdr:row>29</xdr:row>
          <xdr:rowOff>88900</xdr:rowOff>
        </xdr:from>
        <xdr:to>
          <xdr:col>7</xdr:col>
          <xdr:colOff>635000</xdr:colOff>
          <xdr:row>29</xdr:row>
          <xdr:rowOff>330200</xdr:rowOff>
        </xdr:to>
        <xdr:sp macro="" textlink="">
          <xdr:nvSpPr>
            <xdr:cNvPr id="10276" name="Check Box 36" hidden="1">
              <a:extLst>
                <a:ext uri="{63B3BB69-23CF-44E3-9099-C40C66FF867C}">
                  <a14:compatExt spid="_x0000_s10276"/>
                </a:ext>
                <a:ext uri="{FF2B5EF4-FFF2-40B4-BE49-F238E27FC236}">
                  <a16:creationId xmlns:a16="http://schemas.microsoft.com/office/drawing/2014/main" id="{00000000-0008-0000-0000-0000242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266700</xdr:colOff>
          <xdr:row>30</xdr:row>
          <xdr:rowOff>88900</xdr:rowOff>
        </xdr:from>
        <xdr:to>
          <xdr:col>7</xdr:col>
          <xdr:colOff>635000</xdr:colOff>
          <xdr:row>30</xdr:row>
          <xdr:rowOff>330200</xdr:rowOff>
        </xdr:to>
        <xdr:sp macro="" textlink="">
          <xdr:nvSpPr>
            <xdr:cNvPr id="10277" name="Check Box 37" hidden="1">
              <a:extLst>
                <a:ext uri="{63B3BB69-23CF-44E3-9099-C40C66FF867C}">
                  <a14:compatExt spid="_x0000_s10277"/>
                </a:ext>
                <a:ext uri="{FF2B5EF4-FFF2-40B4-BE49-F238E27FC236}">
                  <a16:creationId xmlns:a16="http://schemas.microsoft.com/office/drawing/2014/main" id="{00000000-0008-0000-0000-0000252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266700</xdr:colOff>
          <xdr:row>31</xdr:row>
          <xdr:rowOff>88900</xdr:rowOff>
        </xdr:from>
        <xdr:to>
          <xdr:col>7</xdr:col>
          <xdr:colOff>635000</xdr:colOff>
          <xdr:row>31</xdr:row>
          <xdr:rowOff>330200</xdr:rowOff>
        </xdr:to>
        <xdr:sp macro="" textlink="">
          <xdr:nvSpPr>
            <xdr:cNvPr id="10278" name="Check Box 38" hidden="1">
              <a:extLst>
                <a:ext uri="{63B3BB69-23CF-44E3-9099-C40C66FF867C}">
                  <a14:compatExt spid="_x0000_s10278"/>
                </a:ext>
                <a:ext uri="{FF2B5EF4-FFF2-40B4-BE49-F238E27FC236}">
                  <a16:creationId xmlns:a16="http://schemas.microsoft.com/office/drawing/2014/main" id="{00000000-0008-0000-0000-0000262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266700</xdr:colOff>
          <xdr:row>32</xdr:row>
          <xdr:rowOff>88900</xdr:rowOff>
        </xdr:from>
        <xdr:to>
          <xdr:col>7</xdr:col>
          <xdr:colOff>635000</xdr:colOff>
          <xdr:row>32</xdr:row>
          <xdr:rowOff>330200</xdr:rowOff>
        </xdr:to>
        <xdr:sp macro="" textlink="">
          <xdr:nvSpPr>
            <xdr:cNvPr id="10279" name="Check Box 39" hidden="1">
              <a:extLst>
                <a:ext uri="{63B3BB69-23CF-44E3-9099-C40C66FF867C}">
                  <a14:compatExt spid="_x0000_s10279"/>
                </a:ext>
                <a:ext uri="{FF2B5EF4-FFF2-40B4-BE49-F238E27FC236}">
                  <a16:creationId xmlns:a16="http://schemas.microsoft.com/office/drawing/2014/main" id="{00000000-0008-0000-0000-0000272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266700</xdr:colOff>
          <xdr:row>33</xdr:row>
          <xdr:rowOff>88900</xdr:rowOff>
        </xdr:from>
        <xdr:to>
          <xdr:col>7</xdr:col>
          <xdr:colOff>635000</xdr:colOff>
          <xdr:row>33</xdr:row>
          <xdr:rowOff>330200</xdr:rowOff>
        </xdr:to>
        <xdr:sp macro="" textlink="">
          <xdr:nvSpPr>
            <xdr:cNvPr id="10280" name="Check Box 40" hidden="1">
              <a:extLst>
                <a:ext uri="{63B3BB69-23CF-44E3-9099-C40C66FF867C}">
                  <a14:compatExt spid="_x0000_s10280"/>
                </a:ext>
                <a:ext uri="{FF2B5EF4-FFF2-40B4-BE49-F238E27FC236}">
                  <a16:creationId xmlns:a16="http://schemas.microsoft.com/office/drawing/2014/main" id="{00000000-0008-0000-0000-0000282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266700</xdr:colOff>
          <xdr:row>34</xdr:row>
          <xdr:rowOff>88900</xdr:rowOff>
        </xdr:from>
        <xdr:to>
          <xdr:col>7</xdr:col>
          <xdr:colOff>635000</xdr:colOff>
          <xdr:row>34</xdr:row>
          <xdr:rowOff>330200</xdr:rowOff>
        </xdr:to>
        <xdr:sp macro="" textlink="">
          <xdr:nvSpPr>
            <xdr:cNvPr id="10281" name="Check Box 41" hidden="1">
              <a:extLst>
                <a:ext uri="{63B3BB69-23CF-44E3-9099-C40C66FF867C}">
                  <a14:compatExt spid="_x0000_s10281"/>
                </a:ext>
                <a:ext uri="{FF2B5EF4-FFF2-40B4-BE49-F238E27FC236}">
                  <a16:creationId xmlns:a16="http://schemas.microsoft.com/office/drawing/2014/main" id="{00000000-0008-0000-0000-0000292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266700</xdr:colOff>
          <xdr:row>35</xdr:row>
          <xdr:rowOff>88900</xdr:rowOff>
        </xdr:from>
        <xdr:to>
          <xdr:col>7</xdr:col>
          <xdr:colOff>635000</xdr:colOff>
          <xdr:row>35</xdr:row>
          <xdr:rowOff>330200</xdr:rowOff>
        </xdr:to>
        <xdr:sp macro="" textlink="">
          <xdr:nvSpPr>
            <xdr:cNvPr id="10282" name="Check Box 42" hidden="1">
              <a:extLst>
                <a:ext uri="{63B3BB69-23CF-44E3-9099-C40C66FF867C}">
                  <a14:compatExt spid="_x0000_s10282"/>
                </a:ext>
                <a:ext uri="{FF2B5EF4-FFF2-40B4-BE49-F238E27FC236}">
                  <a16:creationId xmlns:a16="http://schemas.microsoft.com/office/drawing/2014/main" id="{00000000-0008-0000-0000-00002A2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266700</xdr:colOff>
          <xdr:row>36</xdr:row>
          <xdr:rowOff>88900</xdr:rowOff>
        </xdr:from>
        <xdr:to>
          <xdr:col>7</xdr:col>
          <xdr:colOff>635000</xdr:colOff>
          <xdr:row>36</xdr:row>
          <xdr:rowOff>330200</xdr:rowOff>
        </xdr:to>
        <xdr:sp macro="" textlink="">
          <xdr:nvSpPr>
            <xdr:cNvPr id="10283" name="Check Box 43" hidden="1">
              <a:extLst>
                <a:ext uri="{63B3BB69-23CF-44E3-9099-C40C66FF867C}">
                  <a14:compatExt spid="_x0000_s10283"/>
                </a:ext>
                <a:ext uri="{FF2B5EF4-FFF2-40B4-BE49-F238E27FC236}">
                  <a16:creationId xmlns:a16="http://schemas.microsoft.com/office/drawing/2014/main" id="{00000000-0008-0000-0000-00002B2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266700</xdr:colOff>
          <xdr:row>37</xdr:row>
          <xdr:rowOff>88900</xdr:rowOff>
        </xdr:from>
        <xdr:to>
          <xdr:col>7</xdr:col>
          <xdr:colOff>635000</xdr:colOff>
          <xdr:row>37</xdr:row>
          <xdr:rowOff>330200</xdr:rowOff>
        </xdr:to>
        <xdr:sp macro="" textlink="">
          <xdr:nvSpPr>
            <xdr:cNvPr id="10284" name="Check Box 44" hidden="1">
              <a:extLst>
                <a:ext uri="{63B3BB69-23CF-44E3-9099-C40C66FF867C}">
                  <a14:compatExt spid="_x0000_s10284"/>
                </a:ext>
                <a:ext uri="{FF2B5EF4-FFF2-40B4-BE49-F238E27FC236}">
                  <a16:creationId xmlns:a16="http://schemas.microsoft.com/office/drawing/2014/main" id="{00000000-0008-0000-0000-00002C2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266700</xdr:colOff>
          <xdr:row>38</xdr:row>
          <xdr:rowOff>88900</xdr:rowOff>
        </xdr:from>
        <xdr:to>
          <xdr:col>7</xdr:col>
          <xdr:colOff>635000</xdr:colOff>
          <xdr:row>38</xdr:row>
          <xdr:rowOff>330200</xdr:rowOff>
        </xdr:to>
        <xdr:sp macro="" textlink="">
          <xdr:nvSpPr>
            <xdr:cNvPr id="10285" name="Check Box 45" hidden="1">
              <a:extLst>
                <a:ext uri="{63B3BB69-23CF-44E3-9099-C40C66FF867C}">
                  <a14:compatExt spid="_x0000_s10285"/>
                </a:ext>
                <a:ext uri="{FF2B5EF4-FFF2-40B4-BE49-F238E27FC236}">
                  <a16:creationId xmlns:a16="http://schemas.microsoft.com/office/drawing/2014/main" id="{00000000-0008-0000-0000-00002D2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266700</xdr:colOff>
          <xdr:row>39</xdr:row>
          <xdr:rowOff>88900</xdr:rowOff>
        </xdr:from>
        <xdr:to>
          <xdr:col>7</xdr:col>
          <xdr:colOff>635000</xdr:colOff>
          <xdr:row>39</xdr:row>
          <xdr:rowOff>330200</xdr:rowOff>
        </xdr:to>
        <xdr:sp macro="" textlink="">
          <xdr:nvSpPr>
            <xdr:cNvPr id="10286" name="Check Box 46" hidden="1">
              <a:extLst>
                <a:ext uri="{63B3BB69-23CF-44E3-9099-C40C66FF867C}">
                  <a14:compatExt spid="_x0000_s10286"/>
                </a:ext>
                <a:ext uri="{FF2B5EF4-FFF2-40B4-BE49-F238E27FC236}">
                  <a16:creationId xmlns:a16="http://schemas.microsoft.com/office/drawing/2014/main" id="{00000000-0008-0000-0000-00002E2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266700</xdr:colOff>
          <xdr:row>40</xdr:row>
          <xdr:rowOff>88900</xdr:rowOff>
        </xdr:from>
        <xdr:to>
          <xdr:col>7</xdr:col>
          <xdr:colOff>635000</xdr:colOff>
          <xdr:row>40</xdr:row>
          <xdr:rowOff>330200</xdr:rowOff>
        </xdr:to>
        <xdr:sp macro="" textlink="">
          <xdr:nvSpPr>
            <xdr:cNvPr id="10287" name="Check Box 47" hidden="1">
              <a:extLst>
                <a:ext uri="{63B3BB69-23CF-44E3-9099-C40C66FF867C}">
                  <a14:compatExt spid="_x0000_s10287"/>
                </a:ext>
                <a:ext uri="{FF2B5EF4-FFF2-40B4-BE49-F238E27FC236}">
                  <a16:creationId xmlns:a16="http://schemas.microsoft.com/office/drawing/2014/main" id="{00000000-0008-0000-0000-00002F2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266700</xdr:colOff>
          <xdr:row>41</xdr:row>
          <xdr:rowOff>88900</xdr:rowOff>
        </xdr:from>
        <xdr:to>
          <xdr:col>7</xdr:col>
          <xdr:colOff>635000</xdr:colOff>
          <xdr:row>41</xdr:row>
          <xdr:rowOff>330200</xdr:rowOff>
        </xdr:to>
        <xdr:sp macro="" textlink="">
          <xdr:nvSpPr>
            <xdr:cNvPr id="10288" name="Check Box 48" hidden="1">
              <a:extLst>
                <a:ext uri="{63B3BB69-23CF-44E3-9099-C40C66FF867C}">
                  <a14:compatExt spid="_x0000_s10288"/>
                </a:ext>
                <a:ext uri="{FF2B5EF4-FFF2-40B4-BE49-F238E27FC236}">
                  <a16:creationId xmlns:a16="http://schemas.microsoft.com/office/drawing/2014/main" id="{00000000-0008-0000-0000-0000302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266700</xdr:colOff>
          <xdr:row>42</xdr:row>
          <xdr:rowOff>88900</xdr:rowOff>
        </xdr:from>
        <xdr:to>
          <xdr:col>7</xdr:col>
          <xdr:colOff>635000</xdr:colOff>
          <xdr:row>42</xdr:row>
          <xdr:rowOff>330200</xdr:rowOff>
        </xdr:to>
        <xdr:sp macro="" textlink="">
          <xdr:nvSpPr>
            <xdr:cNvPr id="10289" name="Check Box 49" hidden="1">
              <a:extLst>
                <a:ext uri="{63B3BB69-23CF-44E3-9099-C40C66FF867C}">
                  <a14:compatExt spid="_x0000_s10289"/>
                </a:ext>
                <a:ext uri="{FF2B5EF4-FFF2-40B4-BE49-F238E27FC236}">
                  <a16:creationId xmlns:a16="http://schemas.microsoft.com/office/drawing/2014/main" id="{00000000-0008-0000-0000-0000312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266700</xdr:colOff>
          <xdr:row>43</xdr:row>
          <xdr:rowOff>88900</xdr:rowOff>
        </xdr:from>
        <xdr:to>
          <xdr:col>7</xdr:col>
          <xdr:colOff>635000</xdr:colOff>
          <xdr:row>43</xdr:row>
          <xdr:rowOff>330200</xdr:rowOff>
        </xdr:to>
        <xdr:sp macro="" textlink="">
          <xdr:nvSpPr>
            <xdr:cNvPr id="10290" name="Check Box 50" hidden="1">
              <a:extLst>
                <a:ext uri="{63B3BB69-23CF-44E3-9099-C40C66FF867C}">
                  <a14:compatExt spid="_x0000_s10290"/>
                </a:ext>
                <a:ext uri="{FF2B5EF4-FFF2-40B4-BE49-F238E27FC236}">
                  <a16:creationId xmlns:a16="http://schemas.microsoft.com/office/drawing/2014/main" id="{00000000-0008-0000-0000-0000322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xdr:twoCellAnchor>
    <xdr:from>
      <xdr:col>7</xdr:col>
      <xdr:colOff>1205507</xdr:colOff>
      <xdr:row>2</xdr:row>
      <xdr:rowOff>175617</xdr:rowOff>
    </xdr:from>
    <xdr:to>
      <xdr:col>7</xdr:col>
      <xdr:colOff>1833562</xdr:colOff>
      <xdr:row>3</xdr:row>
      <xdr:rowOff>416719</xdr:rowOff>
    </xdr:to>
    <xdr:sp macro="" textlink="">
      <xdr:nvSpPr>
        <xdr:cNvPr id="4" name="Téglalap: lekerekített 3">
          <a:extLst>
            <a:ext uri="{FF2B5EF4-FFF2-40B4-BE49-F238E27FC236}">
              <a16:creationId xmlns:a16="http://schemas.microsoft.com/office/drawing/2014/main" id="{00EE72CD-2C87-D6FE-301C-39AA5C3D1FCF}"/>
            </a:ext>
          </a:extLst>
        </xdr:cNvPr>
        <xdr:cNvSpPr/>
      </xdr:nvSpPr>
      <xdr:spPr>
        <a:xfrm>
          <a:off x="5405437" y="544711"/>
          <a:ext cx="628055" cy="422672"/>
        </a:xfrm>
        <a:prstGeom prst="roundRect">
          <a:avLst/>
        </a:prstGeom>
        <a:noFill/>
        <a:ln w="3175"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hu-HU" sz="1100">
            <a:noFill/>
          </a:endParaRP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51404</xdr:colOff>
      <xdr:row>3</xdr:row>
      <xdr:rowOff>53671</xdr:rowOff>
    </xdr:from>
    <xdr:to>
      <xdr:col>5</xdr:col>
      <xdr:colOff>1443112</xdr:colOff>
      <xdr:row>3</xdr:row>
      <xdr:rowOff>330350</xdr:rowOff>
    </xdr:to>
    <xdr:sp macro="" textlink="">
      <xdr:nvSpPr>
        <xdr:cNvPr id="3" name="Téglalap: lekerekített 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A65F57A5-8CE4-68A4-3F86-9DD4BADA6467}"/>
            </a:ext>
          </a:extLst>
        </xdr:cNvPr>
        <xdr:cNvSpPr/>
      </xdr:nvSpPr>
      <xdr:spPr>
        <a:xfrm>
          <a:off x="3759351" y="1203475"/>
          <a:ext cx="1391708" cy="276679"/>
        </a:xfrm>
        <a:prstGeom prst="roundRect">
          <a:avLst/>
        </a:prstGeom>
        <a:solidFill>
          <a:srgbClr val="FF00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hu-HU" sz="1100"/>
            <a:t>Módszertan letöltése</a:t>
          </a: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42065</xdr:colOff>
      <xdr:row>0</xdr:row>
      <xdr:rowOff>135873</xdr:rowOff>
    </xdr:from>
    <xdr:to>
      <xdr:col>6</xdr:col>
      <xdr:colOff>761552</xdr:colOff>
      <xdr:row>1</xdr:row>
      <xdr:rowOff>64435</xdr:rowOff>
    </xdr:to>
    <xdr:sp macro="" textlink="">
      <xdr:nvSpPr>
        <xdr:cNvPr id="3" name="Szövegdoboz 2">
          <a:extLst>
            <a:ext uri="{FF2B5EF4-FFF2-40B4-BE49-F238E27FC236}">
              <a16:creationId xmlns:a16="http://schemas.microsoft.com/office/drawing/2014/main" id="{8D290B8F-E428-DCA1-2752-D3261E312FC9}"/>
            </a:ext>
          </a:extLst>
        </xdr:cNvPr>
        <xdr:cNvSpPr txBox="1"/>
      </xdr:nvSpPr>
      <xdr:spPr>
        <a:xfrm rot="1533642">
          <a:off x="8224040" y="135873"/>
          <a:ext cx="719487" cy="395287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hu-HU" sz="1100" b="1">
              <a:solidFill>
                <a:srgbClr val="FF0000"/>
              </a:solidFill>
            </a:rPr>
            <a:t>MINTA !!!</a:t>
          </a:r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203989</xdr:colOff>
      <xdr:row>0</xdr:row>
      <xdr:rowOff>159686</xdr:rowOff>
    </xdr:from>
    <xdr:to>
      <xdr:col>7</xdr:col>
      <xdr:colOff>18601</xdr:colOff>
      <xdr:row>1</xdr:row>
      <xdr:rowOff>88248</xdr:rowOff>
    </xdr:to>
    <xdr:sp macro="" textlink="">
      <xdr:nvSpPr>
        <xdr:cNvPr id="2" name="Szövegdoboz 1">
          <a:extLst>
            <a:ext uri="{FF2B5EF4-FFF2-40B4-BE49-F238E27FC236}">
              <a16:creationId xmlns:a16="http://schemas.microsoft.com/office/drawing/2014/main" id="{D41BF4AE-46E3-40C7-A4C8-454F1B392C3A}"/>
            </a:ext>
          </a:extLst>
        </xdr:cNvPr>
        <xdr:cNvSpPr txBox="1"/>
      </xdr:nvSpPr>
      <xdr:spPr>
        <a:xfrm rot="1533642">
          <a:off x="8385964" y="159686"/>
          <a:ext cx="719487" cy="481012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hu-HU" sz="1100" b="1">
              <a:solidFill>
                <a:srgbClr val="FF0000"/>
              </a:solidFill>
            </a:rPr>
            <a:t>MINTA !!!</a:t>
          </a:r>
        </a:p>
      </xdr:txBody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11905</xdr:colOff>
      <xdr:row>1</xdr:row>
      <xdr:rowOff>9524</xdr:rowOff>
    </xdr:from>
    <xdr:to>
      <xdr:col>22</xdr:col>
      <xdr:colOff>638175</xdr:colOff>
      <xdr:row>19</xdr:row>
      <xdr:rowOff>4762</xdr:rowOff>
    </xdr:to>
    <xdr:graphicFrame macro="">
      <xdr:nvGraphicFramePr>
        <xdr:cNvPr id="3" name="Diagram 2">
          <a:extLst>
            <a:ext uri="{FF2B5EF4-FFF2-40B4-BE49-F238E27FC236}">
              <a16:creationId xmlns:a16="http://schemas.microsoft.com/office/drawing/2014/main" id="{15B53218-E4B3-5CF1-7266-8541AE5D8E9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refreshOnLoad="1" connectionId="1" xr16:uid="{4B5F7F0C-769C-493A-803F-86B315BE7149}" autoFormatId="16" applyNumberFormats="0" applyBorderFormats="0" applyFontFormats="0" applyPatternFormats="0" applyAlignmentFormats="0" applyWidthHeightFormats="0">
  <queryTableRefresh nextId="5">
    <queryTableFields count="4">
      <queryTableField id="1" name="Pénznem" tableColumnId="1"/>
      <queryTableField id="2" name="Devizanév" tableColumnId="2"/>
      <queryTableField id="3" name="Egység" tableColumnId="3"/>
      <queryTableField id="4" name="Forintban kifejezett érték" tableColumnId="4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A379F5A-4CE4-4D8B-85A9-22A5A5F8C1BB}" name="Napi_árfolyamok__2026__február_20___péntek" displayName="Napi_árfolyamok__2026__február_20___péntek" ref="A1:D4" tableType="queryTable" totalsRowShown="0">
  <tableColumns count="4">
    <tableColumn id="1" xr3:uid="{12AB3396-50A5-4772-8B4A-9B3713A26F1C}" uniqueName="1" name="Pénznem" queryTableFieldId="1" dataDxfId="33"/>
    <tableColumn id="2" xr3:uid="{213CC65E-235A-4A8B-868C-5E42C5D28270}" uniqueName="2" name="Devizanév" queryTableFieldId="2" dataDxfId="32"/>
    <tableColumn id="3" xr3:uid="{B570545E-6336-4A2A-B4C6-73073E8A6612}" uniqueName="3" name="Egység" queryTableFieldId="3"/>
    <tableColumn id="4" xr3:uid="{4350142B-B9FE-48F8-A540-22E49233DAD1}" uniqueName="4" name="Forintban kifejezett érték" queryTableFieldId="4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-té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ctrlProp" Target="../ctrlProps/ctrlProp6.xml"/><Relationship Id="rId13" Type="http://schemas.openxmlformats.org/officeDocument/2006/relationships/ctrlProp" Target="../ctrlProps/ctrlProp11.xml"/><Relationship Id="rId18" Type="http://schemas.openxmlformats.org/officeDocument/2006/relationships/ctrlProp" Target="../ctrlProps/ctrlProp16.xml"/><Relationship Id="rId26" Type="http://schemas.openxmlformats.org/officeDocument/2006/relationships/ctrlProp" Target="../ctrlProps/ctrlProp24.xml"/><Relationship Id="rId3" Type="http://schemas.openxmlformats.org/officeDocument/2006/relationships/ctrlProp" Target="../ctrlProps/ctrlProp1.xml"/><Relationship Id="rId21" Type="http://schemas.openxmlformats.org/officeDocument/2006/relationships/ctrlProp" Target="../ctrlProps/ctrlProp19.xml"/><Relationship Id="rId7" Type="http://schemas.openxmlformats.org/officeDocument/2006/relationships/ctrlProp" Target="../ctrlProps/ctrlProp5.xml"/><Relationship Id="rId12" Type="http://schemas.openxmlformats.org/officeDocument/2006/relationships/ctrlProp" Target="../ctrlProps/ctrlProp10.xml"/><Relationship Id="rId17" Type="http://schemas.openxmlformats.org/officeDocument/2006/relationships/ctrlProp" Target="../ctrlProps/ctrlProp15.xml"/><Relationship Id="rId25" Type="http://schemas.openxmlformats.org/officeDocument/2006/relationships/ctrlProp" Target="../ctrlProps/ctrlProp23.xml"/><Relationship Id="rId2" Type="http://schemas.openxmlformats.org/officeDocument/2006/relationships/vmlDrawing" Target="../drawings/vmlDrawing1.vml"/><Relationship Id="rId16" Type="http://schemas.openxmlformats.org/officeDocument/2006/relationships/ctrlProp" Target="../ctrlProps/ctrlProp14.xml"/><Relationship Id="rId20" Type="http://schemas.openxmlformats.org/officeDocument/2006/relationships/ctrlProp" Target="../ctrlProps/ctrlProp18.xml"/><Relationship Id="rId1" Type="http://schemas.openxmlformats.org/officeDocument/2006/relationships/drawing" Target="../drawings/drawing1.xml"/><Relationship Id="rId6" Type="http://schemas.openxmlformats.org/officeDocument/2006/relationships/ctrlProp" Target="../ctrlProps/ctrlProp4.xml"/><Relationship Id="rId11" Type="http://schemas.openxmlformats.org/officeDocument/2006/relationships/ctrlProp" Target="../ctrlProps/ctrlProp9.xml"/><Relationship Id="rId24" Type="http://schemas.openxmlformats.org/officeDocument/2006/relationships/ctrlProp" Target="../ctrlProps/ctrlProp22.xml"/><Relationship Id="rId5" Type="http://schemas.openxmlformats.org/officeDocument/2006/relationships/ctrlProp" Target="../ctrlProps/ctrlProp3.xml"/><Relationship Id="rId15" Type="http://schemas.openxmlformats.org/officeDocument/2006/relationships/ctrlProp" Target="../ctrlProps/ctrlProp13.xml"/><Relationship Id="rId23" Type="http://schemas.openxmlformats.org/officeDocument/2006/relationships/ctrlProp" Target="../ctrlProps/ctrlProp21.xml"/><Relationship Id="rId28" Type="http://schemas.openxmlformats.org/officeDocument/2006/relationships/ctrlProp" Target="../ctrlProps/ctrlProp26.xml"/><Relationship Id="rId10" Type="http://schemas.openxmlformats.org/officeDocument/2006/relationships/ctrlProp" Target="../ctrlProps/ctrlProp8.xml"/><Relationship Id="rId19" Type="http://schemas.openxmlformats.org/officeDocument/2006/relationships/ctrlProp" Target="../ctrlProps/ctrlProp17.xml"/><Relationship Id="rId4" Type="http://schemas.openxmlformats.org/officeDocument/2006/relationships/ctrlProp" Target="../ctrlProps/ctrlProp2.xml"/><Relationship Id="rId9" Type="http://schemas.openxmlformats.org/officeDocument/2006/relationships/ctrlProp" Target="../ctrlProps/ctrlProp7.xml"/><Relationship Id="rId14" Type="http://schemas.openxmlformats.org/officeDocument/2006/relationships/ctrlProp" Target="../ctrlProps/ctrlProp12.xml"/><Relationship Id="rId22" Type="http://schemas.openxmlformats.org/officeDocument/2006/relationships/ctrlProp" Target="../ctrlProps/ctrlProp20.xml"/><Relationship Id="rId27" Type="http://schemas.openxmlformats.org/officeDocument/2006/relationships/ctrlProp" Target="../ctrlProps/ctrlProp25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Relationship Id="rId4" Type="http://schemas.openxmlformats.org/officeDocument/2006/relationships/comments" Target="../comments1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3.v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Relationship Id="rId4" Type="http://schemas.openxmlformats.org/officeDocument/2006/relationships/comments" Target="../comments2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4.vml"/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Relationship Id="rId4" Type="http://schemas.openxmlformats.org/officeDocument/2006/relationships/comments" Target="../comments3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02382B-237C-47F5-B36D-57B4B6359920}">
  <sheetPr>
    <tabColor rgb="FFFF0000"/>
  </sheetPr>
  <dimension ref="B1:T46"/>
  <sheetViews>
    <sheetView topLeftCell="A27" zoomScaleNormal="100" workbookViewId="0">
      <selection activeCell="H14" sqref="H14"/>
    </sheetView>
  </sheetViews>
  <sheetFormatPr baseColWidth="10" defaultColWidth="8.83203125" defaultRowHeight="15"/>
  <cols>
    <col min="1" max="1" width="1.6640625" customWidth="1"/>
    <col min="6" max="6" width="11.1640625" customWidth="1"/>
    <col min="8" max="8" width="42.83203125" customWidth="1"/>
    <col min="9" max="9" width="1.83203125" style="256" customWidth="1"/>
    <col min="10" max="10" width="2" customWidth="1"/>
    <col min="15" max="15" width="22" customWidth="1"/>
    <col min="21" max="21" width="1.6640625" customWidth="1"/>
  </cols>
  <sheetData>
    <row r="1" spans="2:20" ht="11" customHeight="1" thickBot="1">
      <c r="D1" s="5"/>
    </row>
    <row r="2" spans="2:20" ht="16" thickTop="1">
      <c r="B2" s="305" t="s">
        <v>82</v>
      </c>
      <c r="C2" s="306"/>
      <c r="D2" s="306"/>
      <c r="E2" s="306"/>
      <c r="F2" s="306"/>
      <c r="G2" s="306"/>
      <c r="H2" s="307"/>
      <c r="I2" s="256" t="b">
        <v>1</v>
      </c>
      <c r="K2" s="332" t="s">
        <v>361</v>
      </c>
      <c r="P2" s="116"/>
    </row>
    <row r="3" spans="2:20">
      <c r="B3" s="308" t="s">
        <v>282</v>
      </c>
      <c r="C3" s="208"/>
      <c r="D3" s="208"/>
      <c r="E3" s="208"/>
      <c r="F3" s="208"/>
      <c r="G3" s="208"/>
      <c r="H3" s="309"/>
      <c r="L3" s="53"/>
    </row>
    <row r="4" spans="2:20" ht="33" customHeight="1">
      <c r="B4" s="416" t="s">
        <v>366</v>
      </c>
      <c r="C4" s="417"/>
      <c r="D4" s="417"/>
      <c r="E4" s="417"/>
      <c r="F4" s="417"/>
      <c r="G4" s="417"/>
      <c r="H4" s="336">
        <f>H46</f>
        <v>2</v>
      </c>
      <c r="K4" s="405" t="s">
        <v>362</v>
      </c>
      <c r="L4" s="405"/>
      <c r="M4" s="405"/>
      <c r="N4" s="405"/>
      <c r="O4" s="405"/>
      <c r="P4" s="405"/>
      <c r="Q4" s="405"/>
      <c r="R4" s="405"/>
      <c r="S4" s="405"/>
      <c r="T4" s="405"/>
    </row>
    <row r="5" spans="2:20">
      <c r="B5" s="308"/>
      <c r="C5" s="208"/>
      <c r="D5" s="208"/>
      <c r="E5" s="208"/>
      <c r="F5" s="208"/>
      <c r="G5" s="208"/>
      <c r="H5" s="309"/>
      <c r="K5" s="405"/>
      <c r="L5" s="405"/>
      <c r="M5" s="405"/>
      <c r="N5" s="405"/>
      <c r="O5" s="405"/>
      <c r="P5" s="405"/>
      <c r="Q5" s="405"/>
      <c r="R5" s="405"/>
      <c r="S5" s="405"/>
      <c r="T5" s="405"/>
    </row>
    <row r="6" spans="2:20">
      <c r="B6" s="308" t="s">
        <v>76</v>
      </c>
      <c r="C6" s="208"/>
      <c r="D6" s="208"/>
      <c r="E6" s="208"/>
      <c r="F6" s="208"/>
      <c r="G6" s="208"/>
      <c r="H6" s="309" t="str">
        <f>Költségvetés!K34</f>
        <v>Nagyon alacsony intenzitás, pályázhat</v>
      </c>
    </row>
    <row r="7" spans="2:20" ht="14.25" customHeight="1">
      <c r="B7" s="308" t="s">
        <v>267</v>
      </c>
      <c r="C7" s="208"/>
      <c r="D7" s="208"/>
      <c r="E7" s="208"/>
      <c r="F7" s="208"/>
      <c r="G7" s="208"/>
      <c r="H7" s="309" t="str">
        <f>Költségvetés!K37</f>
        <v>Alacsony intenzitás</v>
      </c>
      <c r="K7" s="405" t="s">
        <v>363</v>
      </c>
      <c r="L7" s="405"/>
      <c r="M7" s="405"/>
      <c r="N7" s="405"/>
      <c r="O7" s="405"/>
      <c r="P7" s="405"/>
      <c r="Q7" s="405"/>
      <c r="R7" s="405"/>
      <c r="S7" s="405"/>
      <c r="T7" s="405"/>
    </row>
    <row r="8" spans="2:20">
      <c r="B8" s="308" t="s">
        <v>268</v>
      </c>
      <c r="C8" s="208"/>
      <c r="D8" s="208"/>
      <c r="E8" s="208"/>
      <c r="F8" s="208"/>
      <c r="G8" s="208"/>
      <c r="H8" s="309" t="str">
        <f>Költségvetés!K41</f>
        <v>A fejlesztések bevezetésével a pályázó 1 szintet ugrik</v>
      </c>
      <c r="K8" s="405"/>
      <c r="L8" s="405"/>
      <c r="M8" s="405"/>
      <c r="N8" s="405"/>
      <c r="O8" s="405"/>
      <c r="P8" s="405"/>
      <c r="Q8" s="405"/>
      <c r="R8" s="405"/>
      <c r="S8" s="405"/>
      <c r="T8" s="405"/>
    </row>
    <row r="9" spans="2:20">
      <c r="B9" s="308"/>
      <c r="C9" s="208"/>
      <c r="D9" s="208"/>
      <c r="E9" s="208"/>
      <c r="F9" s="208"/>
      <c r="G9" s="208"/>
      <c r="H9" s="309"/>
      <c r="K9" s="405"/>
      <c r="L9" s="405"/>
      <c r="M9" s="405"/>
      <c r="N9" s="405"/>
      <c r="O9" s="405"/>
      <c r="P9" s="405"/>
      <c r="Q9" s="405"/>
      <c r="R9" s="405"/>
      <c r="S9" s="405"/>
      <c r="T9" s="405"/>
    </row>
    <row r="10" spans="2:20">
      <c r="B10" s="308" t="s">
        <v>330</v>
      </c>
      <c r="C10" s="208"/>
      <c r="D10" s="208"/>
      <c r="E10" s="208"/>
      <c r="F10" s="208"/>
      <c r="G10" s="208"/>
      <c r="H10" s="309"/>
      <c r="I10" s="256" t="b">
        <v>0</v>
      </c>
      <c r="K10" s="405"/>
      <c r="L10" s="405"/>
      <c r="M10" s="405"/>
      <c r="N10" s="405"/>
      <c r="O10" s="405"/>
      <c r="P10" s="405"/>
      <c r="Q10" s="405"/>
      <c r="R10" s="405"/>
      <c r="S10" s="405"/>
      <c r="T10" s="405"/>
    </row>
    <row r="11" spans="2:20">
      <c r="B11" s="317" t="s">
        <v>171</v>
      </c>
      <c r="C11" s="208"/>
      <c r="D11" s="208"/>
      <c r="E11" s="208"/>
      <c r="F11" s="208"/>
      <c r="G11" s="208"/>
      <c r="H11" s="309"/>
    </row>
    <row r="12" spans="2:20">
      <c r="B12" s="385" t="s">
        <v>78</v>
      </c>
      <c r="C12" s="208"/>
      <c r="D12" s="208"/>
      <c r="E12" s="208"/>
      <c r="F12" s="208"/>
      <c r="G12" s="208"/>
      <c r="H12" s="309"/>
      <c r="I12" s="256" t="b">
        <v>1</v>
      </c>
      <c r="K12" s="405" t="s">
        <v>364</v>
      </c>
      <c r="L12" s="405"/>
      <c r="M12" s="405"/>
      <c r="N12" s="405"/>
      <c r="O12" s="405"/>
      <c r="P12" s="405"/>
      <c r="Q12" s="405"/>
      <c r="R12" s="405"/>
      <c r="S12" s="405"/>
      <c r="T12" s="405"/>
    </row>
    <row r="13" spans="2:20" ht="8" customHeight="1">
      <c r="B13" s="308"/>
      <c r="C13" s="208"/>
      <c r="D13" s="208"/>
      <c r="E13" s="208"/>
      <c r="F13" s="208"/>
      <c r="G13" s="208"/>
      <c r="H13" s="310"/>
      <c r="K13" s="405"/>
      <c r="L13" s="405"/>
      <c r="M13" s="405"/>
      <c r="N13" s="405"/>
      <c r="O13" s="405"/>
      <c r="P13" s="405"/>
      <c r="Q13" s="405"/>
      <c r="R13" s="405"/>
      <c r="S13" s="405"/>
      <c r="T13" s="405"/>
    </row>
    <row r="14" spans="2:20">
      <c r="B14" s="311" t="s">
        <v>269</v>
      </c>
      <c r="C14" s="208"/>
      <c r="D14" s="208"/>
      <c r="E14" s="208"/>
      <c r="F14" s="208"/>
      <c r="G14" s="208"/>
      <c r="H14" s="312">
        <v>3</v>
      </c>
      <c r="K14" s="405"/>
      <c r="L14" s="405"/>
      <c r="M14" s="405"/>
      <c r="N14" s="405"/>
      <c r="O14" s="405"/>
      <c r="P14" s="405"/>
      <c r="Q14" s="405"/>
      <c r="R14" s="405"/>
      <c r="S14" s="405"/>
      <c r="T14" s="405"/>
    </row>
    <row r="15" spans="2:20" ht="8" customHeight="1">
      <c r="B15" s="311"/>
      <c r="C15" s="208"/>
      <c r="D15" s="208"/>
      <c r="E15" s="208"/>
      <c r="F15" s="208"/>
      <c r="G15" s="208"/>
      <c r="H15" s="313"/>
      <c r="K15" s="405"/>
      <c r="L15" s="405"/>
      <c r="M15" s="405"/>
      <c r="N15" s="405"/>
      <c r="O15" s="405"/>
      <c r="P15" s="405"/>
      <c r="Q15" s="405"/>
      <c r="R15" s="405"/>
      <c r="S15" s="405"/>
      <c r="T15" s="405"/>
    </row>
    <row r="16" spans="2:20">
      <c r="B16" s="308" t="s">
        <v>75</v>
      </c>
      <c r="C16" s="208"/>
      <c r="D16" s="208"/>
      <c r="E16" s="208"/>
      <c r="F16" s="208"/>
      <c r="G16" s="208"/>
      <c r="H16" s="309">
        <v>12</v>
      </c>
    </row>
    <row r="17" spans="2:9" ht="7.5" customHeight="1" thickBot="1">
      <c r="B17" s="314"/>
      <c r="C17" s="315"/>
      <c r="D17" s="315"/>
      <c r="E17" s="315"/>
      <c r="F17" s="315"/>
      <c r="G17" s="315"/>
      <c r="H17" s="316"/>
    </row>
    <row r="18" spans="2:9" ht="7.25" customHeight="1" thickTop="1"/>
    <row r="19" spans="2:9" ht="8.25" customHeight="1" thickBot="1"/>
    <row r="20" spans="2:9" ht="16" thickTop="1">
      <c r="B20" s="408" t="s">
        <v>350</v>
      </c>
      <c r="C20" s="409"/>
      <c r="D20" s="409"/>
      <c r="E20" s="409"/>
      <c r="F20" s="409"/>
      <c r="G20" s="409"/>
      <c r="H20" s="410"/>
    </row>
    <row r="21" spans="2:9" ht="16" thickBot="1">
      <c r="B21" s="411"/>
      <c r="C21" s="412"/>
      <c r="D21" s="412"/>
      <c r="E21" s="412"/>
      <c r="F21" s="412"/>
      <c r="G21" s="412"/>
      <c r="H21" s="413"/>
    </row>
    <row r="22" spans="2:9" ht="31.5" customHeight="1" thickTop="1">
      <c r="B22" s="414" t="s">
        <v>244</v>
      </c>
      <c r="C22" s="415"/>
      <c r="D22" s="415"/>
      <c r="E22" s="415"/>
      <c r="F22" s="415"/>
      <c r="G22" s="415"/>
      <c r="H22" s="318"/>
      <c r="I22" s="297" t="b">
        <v>1</v>
      </c>
    </row>
    <row r="23" spans="2:9" ht="31.5" customHeight="1">
      <c r="B23" s="401" t="s">
        <v>245</v>
      </c>
      <c r="C23" s="402"/>
      <c r="D23" s="402"/>
      <c r="E23" s="402"/>
      <c r="F23" s="402"/>
      <c r="G23" s="402"/>
      <c r="H23" s="319"/>
      <c r="I23" s="297" t="b">
        <v>0</v>
      </c>
    </row>
    <row r="24" spans="2:9" ht="31.5" customHeight="1">
      <c r="B24" s="401" t="s">
        <v>246</v>
      </c>
      <c r="C24" s="402"/>
      <c r="D24" s="402"/>
      <c r="E24" s="402"/>
      <c r="F24" s="402"/>
      <c r="G24" s="402"/>
      <c r="H24" s="319"/>
      <c r="I24" s="297" t="b">
        <v>1</v>
      </c>
    </row>
    <row r="25" spans="2:9" ht="31.5" customHeight="1">
      <c r="B25" s="401" t="s">
        <v>247</v>
      </c>
      <c r="C25" s="402"/>
      <c r="D25" s="402"/>
      <c r="E25" s="402"/>
      <c r="F25" s="402"/>
      <c r="G25" s="402"/>
      <c r="H25" s="319"/>
      <c r="I25" s="297" t="b">
        <v>0</v>
      </c>
    </row>
    <row r="26" spans="2:9" ht="31.5" customHeight="1">
      <c r="B26" s="401" t="s">
        <v>248</v>
      </c>
      <c r="C26" s="402"/>
      <c r="D26" s="402"/>
      <c r="E26" s="402"/>
      <c r="F26" s="402"/>
      <c r="G26" s="402"/>
      <c r="H26" s="319"/>
      <c r="I26" s="297" t="b">
        <v>0</v>
      </c>
    </row>
    <row r="27" spans="2:9" ht="31.5" customHeight="1">
      <c r="B27" s="401" t="s">
        <v>249</v>
      </c>
      <c r="C27" s="402"/>
      <c r="D27" s="402"/>
      <c r="E27" s="402"/>
      <c r="F27" s="402"/>
      <c r="G27" s="402"/>
      <c r="H27" s="319"/>
      <c r="I27" s="297" t="b">
        <v>0</v>
      </c>
    </row>
    <row r="28" spans="2:9" ht="31.5" customHeight="1">
      <c r="B28" s="401" t="s">
        <v>250</v>
      </c>
      <c r="C28" s="402"/>
      <c r="D28" s="402"/>
      <c r="E28" s="402"/>
      <c r="F28" s="402"/>
      <c r="G28" s="402"/>
      <c r="H28" s="319"/>
      <c r="I28" s="297" t="b">
        <v>0</v>
      </c>
    </row>
    <row r="29" spans="2:9" ht="31.5" customHeight="1">
      <c r="B29" s="401" t="s">
        <v>251</v>
      </c>
      <c r="C29" s="402"/>
      <c r="D29" s="402"/>
      <c r="E29" s="402"/>
      <c r="F29" s="402"/>
      <c r="G29" s="402"/>
      <c r="H29" s="319"/>
      <c r="I29" s="297" t="b">
        <v>0</v>
      </c>
    </row>
    <row r="30" spans="2:9" ht="31.5" customHeight="1">
      <c r="B30" s="401" t="s">
        <v>252</v>
      </c>
      <c r="C30" s="402"/>
      <c r="D30" s="402"/>
      <c r="E30" s="402"/>
      <c r="F30" s="402"/>
      <c r="G30" s="402"/>
      <c r="H30" s="319"/>
      <c r="I30" s="297" t="b">
        <v>0</v>
      </c>
    </row>
    <row r="31" spans="2:9" ht="31.5" customHeight="1">
      <c r="B31" s="401" t="s">
        <v>253</v>
      </c>
      <c r="C31" s="402"/>
      <c r="D31" s="402"/>
      <c r="E31" s="402"/>
      <c r="F31" s="402"/>
      <c r="G31" s="402"/>
      <c r="H31" s="319"/>
      <c r="I31" s="297" t="b">
        <v>0</v>
      </c>
    </row>
    <row r="32" spans="2:9" ht="31.5" customHeight="1">
      <c r="B32" s="401" t="s">
        <v>254</v>
      </c>
      <c r="C32" s="402"/>
      <c r="D32" s="402"/>
      <c r="E32" s="402"/>
      <c r="F32" s="402"/>
      <c r="G32" s="402"/>
      <c r="H32" s="319"/>
      <c r="I32" s="297" t="b">
        <v>0</v>
      </c>
    </row>
    <row r="33" spans="2:9" ht="31.5" customHeight="1">
      <c r="B33" s="401" t="s">
        <v>255</v>
      </c>
      <c r="C33" s="402"/>
      <c r="D33" s="402"/>
      <c r="E33" s="402"/>
      <c r="F33" s="402"/>
      <c r="G33" s="402"/>
      <c r="H33" s="319"/>
      <c r="I33" s="256" t="b">
        <v>0</v>
      </c>
    </row>
    <row r="34" spans="2:9" ht="31.5" customHeight="1">
      <c r="B34" s="401" t="s">
        <v>256</v>
      </c>
      <c r="C34" s="402"/>
      <c r="D34" s="402"/>
      <c r="E34" s="402"/>
      <c r="F34" s="402"/>
      <c r="G34" s="402"/>
      <c r="H34" s="319"/>
      <c r="I34" s="256" t="b">
        <v>0</v>
      </c>
    </row>
    <row r="35" spans="2:9" ht="31.5" customHeight="1">
      <c r="B35" s="401" t="s">
        <v>257</v>
      </c>
      <c r="C35" s="402"/>
      <c r="D35" s="402"/>
      <c r="E35" s="402"/>
      <c r="F35" s="402"/>
      <c r="G35" s="402"/>
      <c r="H35" s="319"/>
      <c r="I35" s="256" t="b">
        <v>0</v>
      </c>
    </row>
    <row r="36" spans="2:9" ht="31.5" customHeight="1">
      <c r="B36" s="401" t="s">
        <v>258</v>
      </c>
      <c r="C36" s="402"/>
      <c r="D36" s="402"/>
      <c r="E36" s="402"/>
      <c r="F36" s="402"/>
      <c r="G36" s="402"/>
      <c r="H36" s="319"/>
      <c r="I36" s="256" t="b">
        <v>0</v>
      </c>
    </row>
    <row r="37" spans="2:9" ht="31.5" customHeight="1">
      <c r="B37" s="401" t="s">
        <v>259</v>
      </c>
      <c r="C37" s="402"/>
      <c r="D37" s="402"/>
      <c r="E37" s="402"/>
      <c r="F37" s="402"/>
      <c r="G37" s="402"/>
      <c r="H37" s="319"/>
      <c r="I37" s="256" t="b">
        <v>0</v>
      </c>
    </row>
    <row r="38" spans="2:9" ht="31.5" customHeight="1">
      <c r="B38" s="401" t="s">
        <v>260</v>
      </c>
      <c r="C38" s="402"/>
      <c r="D38" s="402"/>
      <c r="E38" s="402"/>
      <c r="F38" s="402"/>
      <c r="G38" s="402"/>
      <c r="H38" s="319"/>
      <c r="I38" s="256" t="b">
        <v>0</v>
      </c>
    </row>
    <row r="39" spans="2:9" ht="31.5" customHeight="1">
      <c r="B39" s="406" t="s">
        <v>261</v>
      </c>
      <c r="C39" s="407"/>
      <c r="D39" s="407"/>
      <c r="E39" s="407"/>
      <c r="F39" s="407"/>
      <c r="G39" s="407"/>
      <c r="H39" s="319"/>
      <c r="I39" s="256" t="b">
        <v>0</v>
      </c>
    </row>
    <row r="40" spans="2:9" ht="31.5" customHeight="1">
      <c r="B40" s="401" t="s">
        <v>262</v>
      </c>
      <c r="C40" s="402"/>
      <c r="D40" s="402"/>
      <c r="E40" s="402"/>
      <c r="F40" s="402"/>
      <c r="G40" s="402"/>
      <c r="H40" s="319"/>
      <c r="I40" s="256" t="b">
        <v>0</v>
      </c>
    </row>
    <row r="41" spans="2:9" ht="31.5" customHeight="1">
      <c r="B41" s="401" t="s">
        <v>263</v>
      </c>
      <c r="C41" s="402"/>
      <c r="D41" s="402"/>
      <c r="E41" s="402"/>
      <c r="F41" s="402"/>
      <c r="G41" s="402"/>
      <c r="H41" s="319"/>
      <c r="I41" s="256" t="b">
        <v>0</v>
      </c>
    </row>
    <row r="42" spans="2:9" ht="31.5" customHeight="1">
      <c r="B42" s="401" t="s">
        <v>264</v>
      </c>
      <c r="C42" s="402"/>
      <c r="D42" s="402"/>
      <c r="E42" s="402"/>
      <c r="F42" s="402"/>
      <c r="G42" s="402"/>
      <c r="H42" s="319"/>
      <c r="I42" s="256" t="b">
        <v>0</v>
      </c>
    </row>
    <row r="43" spans="2:9" ht="31.5" customHeight="1">
      <c r="B43" s="401" t="s">
        <v>265</v>
      </c>
      <c r="C43" s="402"/>
      <c r="D43" s="402"/>
      <c r="E43" s="402"/>
      <c r="F43" s="402"/>
      <c r="G43" s="402"/>
      <c r="H43" s="319"/>
      <c r="I43" s="256" t="b">
        <v>0</v>
      </c>
    </row>
    <row r="44" spans="2:9" ht="31.5" customHeight="1" thickBot="1">
      <c r="B44" s="403" t="s">
        <v>266</v>
      </c>
      <c r="C44" s="404"/>
      <c r="D44" s="404"/>
      <c r="E44" s="404"/>
      <c r="F44" s="404"/>
      <c r="G44" s="404"/>
      <c r="H44" s="320"/>
      <c r="I44" s="256" t="b">
        <v>0</v>
      </c>
    </row>
    <row r="45" spans="2:9" ht="16" thickTop="1"/>
    <row r="46" spans="2:9">
      <c r="B46" s="258" t="s">
        <v>289</v>
      </c>
      <c r="C46" s="258"/>
      <c r="D46" s="258"/>
      <c r="E46" s="258"/>
      <c r="F46" s="258"/>
      <c r="G46" s="258"/>
      <c r="H46" s="344">
        <f>COUNTIFS(I22:I44,TRUE)</f>
        <v>2</v>
      </c>
    </row>
  </sheetData>
  <mergeCells count="28">
    <mergeCell ref="B4:G4"/>
    <mergeCell ref="B34:G34"/>
    <mergeCell ref="B29:G29"/>
    <mergeCell ref="B30:G30"/>
    <mergeCell ref="B31:G31"/>
    <mergeCell ref="B32:G32"/>
    <mergeCell ref="B35:G35"/>
    <mergeCell ref="B24:G24"/>
    <mergeCell ref="B25:G25"/>
    <mergeCell ref="B26:G26"/>
    <mergeCell ref="B27:G27"/>
    <mergeCell ref="B28:G28"/>
    <mergeCell ref="B43:G43"/>
    <mergeCell ref="B44:G44"/>
    <mergeCell ref="K4:T5"/>
    <mergeCell ref="K7:T10"/>
    <mergeCell ref="K12:T15"/>
    <mergeCell ref="B36:G36"/>
    <mergeCell ref="B37:G37"/>
    <mergeCell ref="B40:G40"/>
    <mergeCell ref="B41:G41"/>
    <mergeCell ref="B42:G42"/>
    <mergeCell ref="B33:G33"/>
    <mergeCell ref="B39:G39"/>
    <mergeCell ref="B38:G38"/>
    <mergeCell ref="B20:H21"/>
    <mergeCell ref="B22:G22"/>
    <mergeCell ref="B23:G23"/>
  </mergeCells>
  <conditionalFormatting sqref="B10">
    <cfRule type="expression" dxfId="31" priority="2">
      <formula>AND($I$10,$I$12)</formula>
    </cfRule>
  </conditionalFormatting>
  <conditionalFormatting sqref="B11">
    <cfRule type="expression" dxfId="30" priority="6">
      <formula>$I$10=FALSE</formula>
    </cfRule>
    <cfRule type="cellIs" dxfId="29" priority="7" operator="equal">
      <formula>I10=TRUE</formula>
    </cfRule>
  </conditionalFormatting>
  <conditionalFormatting sqref="B12">
    <cfRule type="expression" dxfId="28" priority="1">
      <formula>AND($I$10,$I$12)</formula>
    </cfRule>
    <cfRule type="expression" dxfId="27" priority="5">
      <formula>$I$10</formula>
    </cfRule>
  </conditionalFormatting>
  <conditionalFormatting sqref="B3:H3 B4 H4">
    <cfRule type="expression" dxfId="26" priority="4">
      <formula>$I$2=FALSE</formula>
    </cfRule>
  </conditionalFormatting>
  <dataValidations count="2">
    <dataValidation type="whole" allowBlank="1" showErrorMessage="1" errorTitle="Hibás érték!" error="Min 1 max 50" promptTitle="HIBA" prompt="Legalább 1 fő, maximum 50 fő a megengedett érték!" sqref="H14:H15" xr:uid="{62198C1E-2957-460B-B3CB-00AF9698FF5A}">
      <formula1>0</formula1>
      <formula2>50</formula2>
    </dataValidation>
    <dataValidation allowBlank="1" errorTitle="BIBIBI" sqref="I12" xr:uid="{875119AA-BBF3-4B25-BD49-AD40FD85504C}"/>
  </dataValidations>
  <pageMargins left="0.7" right="0.7" top="0.75" bottom="0.75" header="0.3" footer="0.3"/>
  <drawing r:id="rId1"/>
  <legacyDrawing r:id="rId2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0241" r:id="rId3" name="Check Box 1">
              <controlPr defaultSize="0" autoFill="0" autoLine="0" autoPict="0">
                <anchor moveWithCells="1">
                  <from>
                    <xdr:col>6</xdr:col>
                    <xdr:colOff>635000</xdr:colOff>
                    <xdr:row>8</xdr:row>
                    <xdr:rowOff>152400</xdr:rowOff>
                  </from>
                  <to>
                    <xdr:col>7</xdr:col>
                    <xdr:colOff>342900</xdr:colOff>
                    <xdr:row>10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43" r:id="rId4" name="Check Box 3">
              <controlPr defaultSize="0" autoFill="0" autoLine="0" autoPict="0">
                <anchor moveWithCells="1">
                  <from>
                    <xdr:col>6</xdr:col>
                    <xdr:colOff>635000</xdr:colOff>
                    <xdr:row>10</xdr:row>
                    <xdr:rowOff>152400</xdr:rowOff>
                  </from>
                  <to>
                    <xdr:col>7</xdr:col>
                    <xdr:colOff>342900</xdr:colOff>
                    <xdr:row>12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44" r:id="rId5" name="Check Box 4">
              <controlPr defaultSize="0" autoFill="0" autoLine="0" autoPict="0">
                <anchor moveWithCells="1">
                  <from>
                    <xdr:col>6</xdr:col>
                    <xdr:colOff>635000</xdr:colOff>
                    <xdr:row>0</xdr:row>
                    <xdr:rowOff>177800</xdr:rowOff>
                  </from>
                  <to>
                    <xdr:col>7</xdr:col>
                    <xdr:colOff>342900</xdr:colOff>
                    <xdr:row>2</xdr:row>
                    <xdr:rowOff>50800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68" r:id="rId6" name="Check Box 28">
              <controlPr defaultSize="0" autoFill="0" autoLine="0" autoPict="0">
                <anchor moveWithCells="1">
                  <from>
                    <xdr:col>7</xdr:col>
                    <xdr:colOff>266700</xdr:colOff>
                    <xdr:row>21</xdr:row>
                    <xdr:rowOff>88900</xdr:rowOff>
                  </from>
                  <to>
                    <xdr:col>7</xdr:col>
                    <xdr:colOff>635000</xdr:colOff>
                    <xdr:row>21</xdr:row>
                    <xdr:rowOff>330200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69" r:id="rId7" name="Check Box 29">
              <controlPr defaultSize="0" autoFill="0" autoLine="0" autoPict="0">
                <anchor moveWithCells="1">
                  <from>
                    <xdr:col>7</xdr:col>
                    <xdr:colOff>266700</xdr:colOff>
                    <xdr:row>22</xdr:row>
                    <xdr:rowOff>88900</xdr:rowOff>
                  </from>
                  <to>
                    <xdr:col>7</xdr:col>
                    <xdr:colOff>635000</xdr:colOff>
                    <xdr:row>22</xdr:row>
                    <xdr:rowOff>330200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70" r:id="rId8" name="Check Box 30">
              <controlPr defaultSize="0" autoFill="0" autoLine="0" autoPict="0">
                <anchor moveWithCells="1">
                  <from>
                    <xdr:col>7</xdr:col>
                    <xdr:colOff>266700</xdr:colOff>
                    <xdr:row>23</xdr:row>
                    <xdr:rowOff>88900</xdr:rowOff>
                  </from>
                  <to>
                    <xdr:col>7</xdr:col>
                    <xdr:colOff>635000</xdr:colOff>
                    <xdr:row>23</xdr:row>
                    <xdr:rowOff>330200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71" r:id="rId9" name="Check Box 31">
              <controlPr defaultSize="0" autoFill="0" autoLine="0" autoPict="0">
                <anchor moveWithCells="1">
                  <from>
                    <xdr:col>7</xdr:col>
                    <xdr:colOff>266700</xdr:colOff>
                    <xdr:row>24</xdr:row>
                    <xdr:rowOff>88900</xdr:rowOff>
                  </from>
                  <to>
                    <xdr:col>7</xdr:col>
                    <xdr:colOff>635000</xdr:colOff>
                    <xdr:row>24</xdr:row>
                    <xdr:rowOff>330200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72" r:id="rId10" name="Check Box 32">
              <controlPr defaultSize="0" autoFill="0" autoLine="0" autoPict="0">
                <anchor moveWithCells="1">
                  <from>
                    <xdr:col>7</xdr:col>
                    <xdr:colOff>266700</xdr:colOff>
                    <xdr:row>25</xdr:row>
                    <xdr:rowOff>88900</xdr:rowOff>
                  </from>
                  <to>
                    <xdr:col>7</xdr:col>
                    <xdr:colOff>635000</xdr:colOff>
                    <xdr:row>25</xdr:row>
                    <xdr:rowOff>330200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73" r:id="rId11" name="Check Box 33">
              <controlPr defaultSize="0" autoFill="0" autoLine="0" autoPict="0">
                <anchor moveWithCells="1">
                  <from>
                    <xdr:col>7</xdr:col>
                    <xdr:colOff>266700</xdr:colOff>
                    <xdr:row>26</xdr:row>
                    <xdr:rowOff>88900</xdr:rowOff>
                  </from>
                  <to>
                    <xdr:col>7</xdr:col>
                    <xdr:colOff>635000</xdr:colOff>
                    <xdr:row>26</xdr:row>
                    <xdr:rowOff>330200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74" r:id="rId12" name="Check Box 34">
              <controlPr defaultSize="0" autoFill="0" autoLine="0" autoPict="0">
                <anchor moveWithCells="1">
                  <from>
                    <xdr:col>7</xdr:col>
                    <xdr:colOff>266700</xdr:colOff>
                    <xdr:row>27</xdr:row>
                    <xdr:rowOff>88900</xdr:rowOff>
                  </from>
                  <to>
                    <xdr:col>7</xdr:col>
                    <xdr:colOff>635000</xdr:colOff>
                    <xdr:row>27</xdr:row>
                    <xdr:rowOff>330200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75" r:id="rId13" name="Check Box 35">
              <controlPr defaultSize="0" autoFill="0" autoLine="0" autoPict="0">
                <anchor moveWithCells="1">
                  <from>
                    <xdr:col>7</xdr:col>
                    <xdr:colOff>266700</xdr:colOff>
                    <xdr:row>28</xdr:row>
                    <xdr:rowOff>88900</xdr:rowOff>
                  </from>
                  <to>
                    <xdr:col>7</xdr:col>
                    <xdr:colOff>635000</xdr:colOff>
                    <xdr:row>28</xdr:row>
                    <xdr:rowOff>330200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76" r:id="rId14" name="Check Box 36">
              <controlPr defaultSize="0" autoFill="0" autoLine="0" autoPict="0">
                <anchor moveWithCells="1">
                  <from>
                    <xdr:col>7</xdr:col>
                    <xdr:colOff>266700</xdr:colOff>
                    <xdr:row>29</xdr:row>
                    <xdr:rowOff>88900</xdr:rowOff>
                  </from>
                  <to>
                    <xdr:col>7</xdr:col>
                    <xdr:colOff>635000</xdr:colOff>
                    <xdr:row>29</xdr:row>
                    <xdr:rowOff>330200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77" r:id="rId15" name="Check Box 37">
              <controlPr defaultSize="0" autoFill="0" autoLine="0" autoPict="0">
                <anchor moveWithCells="1">
                  <from>
                    <xdr:col>7</xdr:col>
                    <xdr:colOff>266700</xdr:colOff>
                    <xdr:row>30</xdr:row>
                    <xdr:rowOff>88900</xdr:rowOff>
                  </from>
                  <to>
                    <xdr:col>7</xdr:col>
                    <xdr:colOff>635000</xdr:colOff>
                    <xdr:row>30</xdr:row>
                    <xdr:rowOff>330200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78" r:id="rId16" name="Check Box 38">
              <controlPr defaultSize="0" autoFill="0" autoLine="0" autoPict="0">
                <anchor moveWithCells="1">
                  <from>
                    <xdr:col>7</xdr:col>
                    <xdr:colOff>266700</xdr:colOff>
                    <xdr:row>31</xdr:row>
                    <xdr:rowOff>88900</xdr:rowOff>
                  </from>
                  <to>
                    <xdr:col>7</xdr:col>
                    <xdr:colOff>635000</xdr:colOff>
                    <xdr:row>31</xdr:row>
                    <xdr:rowOff>330200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79" r:id="rId17" name="Check Box 39">
              <controlPr defaultSize="0" autoFill="0" autoLine="0" autoPict="0">
                <anchor moveWithCells="1">
                  <from>
                    <xdr:col>7</xdr:col>
                    <xdr:colOff>266700</xdr:colOff>
                    <xdr:row>32</xdr:row>
                    <xdr:rowOff>88900</xdr:rowOff>
                  </from>
                  <to>
                    <xdr:col>7</xdr:col>
                    <xdr:colOff>635000</xdr:colOff>
                    <xdr:row>32</xdr:row>
                    <xdr:rowOff>330200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80" r:id="rId18" name="Check Box 40">
              <controlPr defaultSize="0" autoFill="0" autoLine="0" autoPict="0">
                <anchor moveWithCells="1">
                  <from>
                    <xdr:col>7</xdr:col>
                    <xdr:colOff>266700</xdr:colOff>
                    <xdr:row>33</xdr:row>
                    <xdr:rowOff>88900</xdr:rowOff>
                  </from>
                  <to>
                    <xdr:col>7</xdr:col>
                    <xdr:colOff>635000</xdr:colOff>
                    <xdr:row>33</xdr:row>
                    <xdr:rowOff>330200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81" r:id="rId19" name="Check Box 41">
              <controlPr defaultSize="0" autoFill="0" autoLine="0" autoPict="0">
                <anchor moveWithCells="1">
                  <from>
                    <xdr:col>7</xdr:col>
                    <xdr:colOff>266700</xdr:colOff>
                    <xdr:row>34</xdr:row>
                    <xdr:rowOff>88900</xdr:rowOff>
                  </from>
                  <to>
                    <xdr:col>7</xdr:col>
                    <xdr:colOff>635000</xdr:colOff>
                    <xdr:row>34</xdr:row>
                    <xdr:rowOff>330200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82" r:id="rId20" name="Check Box 42">
              <controlPr defaultSize="0" autoFill="0" autoLine="0" autoPict="0">
                <anchor moveWithCells="1">
                  <from>
                    <xdr:col>7</xdr:col>
                    <xdr:colOff>266700</xdr:colOff>
                    <xdr:row>35</xdr:row>
                    <xdr:rowOff>88900</xdr:rowOff>
                  </from>
                  <to>
                    <xdr:col>7</xdr:col>
                    <xdr:colOff>635000</xdr:colOff>
                    <xdr:row>35</xdr:row>
                    <xdr:rowOff>330200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83" r:id="rId21" name="Check Box 43">
              <controlPr defaultSize="0" autoFill="0" autoLine="0" autoPict="0">
                <anchor moveWithCells="1">
                  <from>
                    <xdr:col>7</xdr:col>
                    <xdr:colOff>266700</xdr:colOff>
                    <xdr:row>36</xdr:row>
                    <xdr:rowOff>88900</xdr:rowOff>
                  </from>
                  <to>
                    <xdr:col>7</xdr:col>
                    <xdr:colOff>635000</xdr:colOff>
                    <xdr:row>36</xdr:row>
                    <xdr:rowOff>330200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84" r:id="rId22" name="Check Box 44">
              <controlPr defaultSize="0" autoFill="0" autoLine="0" autoPict="0">
                <anchor moveWithCells="1">
                  <from>
                    <xdr:col>7</xdr:col>
                    <xdr:colOff>266700</xdr:colOff>
                    <xdr:row>37</xdr:row>
                    <xdr:rowOff>88900</xdr:rowOff>
                  </from>
                  <to>
                    <xdr:col>7</xdr:col>
                    <xdr:colOff>635000</xdr:colOff>
                    <xdr:row>37</xdr:row>
                    <xdr:rowOff>330200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85" r:id="rId23" name="Check Box 45">
              <controlPr defaultSize="0" autoFill="0" autoLine="0" autoPict="0">
                <anchor moveWithCells="1">
                  <from>
                    <xdr:col>7</xdr:col>
                    <xdr:colOff>266700</xdr:colOff>
                    <xdr:row>38</xdr:row>
                    <xdr:rowOff>88900</xdr:rowOff>
                  </from>
                  <to>
                    <xdr:col>7</xdr:col>
                    <xdr:colOff>635000</xdr:colOff>
                    <xdr:row>38</xdr:row>
                    <xdr:rowOff>330200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86" r:id="rId24" name="Check Box 46">
              <controlPr defaultSize="0" autoFill="0" autoLine="0" autoPict="0">
                <anchor moveWithCells="1">
                  <from>
                    <xdr:col>7</xdr:col>
                    <xdr:colOff>266700</xdr:colOff>
                    <xdr:row>39</xdr:row>
                    <xdr:rowOff>88900</xdr:rowOff>
                  </from>
                  <to>
                    <xdr:col>7</xdr:col>
                    <xdr:colOff>635000</xdr:colOff>
                    <xdr:row>39</xdr:row>
                    <xdr:rowOff>330200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87" r:id="rId25" name="Check Box 47">
              <controlPr defaultSize="0" autoFill="0" autoLine="0" autoPict="0">
                <anchor moveWithCells="1">
                  <from>
                    <xdr:col>7</xdr:col>
                    <xdr:colOff>266700</xdr:colOff>
                    <xdr:row>40</xdr:row>
                    <xdr:rowOff>88900</xdr:rowOff>
                  </from>
                  <to>
                    <xdr:col>7</xdr:col>
                    <xdr:colOff>635000</xdr:colOff>
                    <xdr:row>40</xdr:row>
                    <xdr:rowOff>330200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88" r:id="rId26" name="Check Box 48">
              <controlPr defaultSize="0" autoFill="0" autoLine="0" autoPict="0">
                <anchor moveWithCells="1">
                  <from>
                    <xdr:col>7</xdr:col>
                    <xdr:colOff>266700</xdr:colOff>
                    <xdr:row>41</xdr:row>
                    <xdr:rowOff>88900</xdr:rowOff>
                  </from>
                  <to>
                    <xdr:col>7</xdr:col>
                    <xdr:colOff>635000</xdr:colOff>
                    <xdr:row>41</xdr:row>
                    <xdr:rowOff>330200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89" r:id="rId27" name="Check Box 49">
              <controlPr defaultSize="0" autoFill="0" autoLine="0" autoPict="0">
                <anchor moveWithCells="1">
                  <from>
                    <xdr:col>7</xdr:col>
                    <xdr:colOff>266700</xdr:colOff>
                    <xdr:row>42</xdr:row>
                    <xdr:rowOff>88900</xdr:rowOff>
                  </from>
                  <to>
                    <xdr:col>7</xdr:col>
                    <xdr:colOff>635000</xdr:colOff>
                    <xdr:row>42</xdr:row>
                    <xdr:rowOff>330200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90" r:id="rId28" name="Check Box 50">
              <controlPr defaultSize="0" autoFill="0" autoLine="0" autoPict="0">
                <anchor moveWithCells="1">
                  <from>
                    <xdr:col>7</xdr:col>
                    <xdr:colOff>266700</xdr:colOff>
                    <xdr:row>43</xdr:row>
                    <xdr:rowOff>88900</xdr:rowOff>
                  </from>
                  <to>
                    <xdr:col>7</xdr:col>
                    <xdr:colOff>635000</xdr:colOff>
                    <xdr:row>43</xdr:row>
                    <xdr:rowOff>330200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E3B989-3953-497B-ADFE-CCE287AE42C0}">
  <sheetPr>
    <tabColor rgb="FF92D050"/>
  </sheetPr>
  <dimension ref="A1:J15"/>
  <sheetViews>
    <sheetView zoomScaleNormal="100" workbookViewId="0">
      <selection activeCell="D11" sqref="D11"/>
    </sheetView>
  </sheetViews>
  <sheetFormatPr baseColWidth="10" defaultColWidth="8.83203125" defaultRowHeight="15"/>
  <cols>
    <col min="1" max="1" width="2.33203125" customWidth="1"/>
    <col min="2" max="2" width="12.6640625" customWidth="1"/>
    <col min="3" max="3" width="11.83203125" customWidth="1"/>
    <col min="4" max="4" width="9.83203125" customWidth="1"/>
    <col min="5" max="5" width="18.6640625" customWidth="1"/>
    <col min="6" max="6" width="20.1640625" customWidth="1"/>
    <col min="7" max="7" width="18.6640625" customWidth="1"/>
    <col min="8" max="8" width="33" customWidth="1"/>
    <col min="9" max="9" width="89.83203125" customWidth="1"/>
    <col min="10" max="10" width="2.33203125" customWidth="1"/>
  </cols>
  <sheetData>
    <row r="1" spans="1:10">
      <c r="A1" s="193"/>
      <c r="B1" s="194"/>
      <c r="C1" s="194"/>
      <c r="D1" s="194"/>
      <c r="E1" s="194"/>
      <c r="F1" s="194"/>
      <c r="G1" s="194"/>
      <c r="H1" s="194"/>
      <c r="I1" s="194"/>
      <c r="J1" s="191"/>
    </row>
    <row r="2" spans="1:10" ht="33.75" customHeight="1">
      <c r="A2" s="207"/>
      <c r="B2" s="321" t="s">
        <v>126</v>
      </c>
      <c r="C2" s="321" t="s">
        <v>74</v>
      </c>
      <c r="D2" s="321" t="s">
        <v>130</v>
      </c>
      <c r="E2" s="322" t="s">
        <v>128</v>
      </c>
      <c r="F2" s="323" t="s">
        <v>129</v>
      </c>
      <c r="G2" s="323" t="s">
        <v>162</v>
      </c>
      <c r="H2" s="323" t="s">
        <v>127</v>
      </c>
      <c r="I2" s="321" t="s">
        <v>146</v>
      </c>
      <c r="J2" s="192"/>
    </row>
    <row r="3" spans="1:10" ht="60" customHeight="1">
      <c r="A3" s="207"/>
      <c r="B3" s="141" t="s">
        <v>107</v>
      </c>
      <c r="C3" s="139" t="s">
        <v>108</v>
      </c>
      <c r="D3" s="139">
        <v>1</v>
      </c>
      <c r="E3" s="140">
        <v>388600</v>
      </c>
      <c r="F3" s="140">
        <v>493522</v>
      </c>
      <c r="G3" s="140">
        <f>E3*D3</f>
        <v>388600</v>
      </c>
      <c r="H3" s="139" t="s">
        <v>353</v>
      </c>
      <c r="I3" s="146" t="s">
        <v>163</v>
      </c>
      <c r="J3" s="192"/>
    </row>
    <row r="4" spans="1:10" ht="57" customHeight="1">
      <c r="A4" s="207"/>
      <c r="B4" s="141" t="s">
        <v>109</v>
      </c>
      <c r="C4" s="139" t="s">
        <v>108</v>
      </c>
      <c r="D4" s="139">
        <v>1</v>
      </c>
      <c r="E4" s="140">
        <v>62300</v>
      </c>
      <c r="F4" s="140">
        <v>79121</v>
      </c>
      <c r="G4" s="140">
        <f t="shared" ref="G4:G10" si="0">E4*D4</f>
        <v>62300</v>
      </c>
      <c r="H4" s="139" t="s">
        <v>110</v>
      </c>
      <c r="I4" s="146" t="s">
        <v>163</v>
      </c>
      <c r="J4" s="192"/>
    </row>
    <row r="5" spans="1:10" ht="57.75" customHeight="1">
      <c r="A5" s="207"/>
      <c r="B5" s="141" t="s">
        <v>111</v>
      </c>
      <c r="C5" s="139" t="s">
        <v>108</v>
      </c>
      <c r="D5" s="139">
        <v>1</v>
      </c>
      <c r="E5" s="140">
        <v>338300</v>
      </c>
      <c r="F5" s="140">
        <v>429641</v>
      </c>
      <c r="G5" s="140">
        <f t="shared" si="0"/>
        <v>338300</v>
      </c>
      <c r="H5" s="139" t="s">
        <v>354</v>
      </c>
      <c r="I5" s="146" t="s">
        <v>163</v>
      </c>
      <c r="J5" s="192"/>
    </row>
    <row r="6" spans="1:10" ht="57.5" customHeight="1">
      <c r="A6" s="207"/>
      <c r="B6" s="141" t="s">
        <v>112</v>
      </c>
      <c r="C6" s="139" t="s">
        <v>108</v>
      </c>
      <c r="D6" s="139">
        <v>1</v>
      </c>
      <c r="E6" s="140">
        <v>251400</v>
      </c>
      <c r="F6" s="140">
        <v>319278</v>
      </c>
      <c r="G6" s="140">
        <f t="shared" si="0"/>
        <v>251400</v>
      </c>
      <c r="H6" s="139" t="s">
        <v>164</v>
      </c>
      <c r="I6" s="146" t="s">
        <v>163</v>
      </c>
      <c r="J6" s="192"/>
    </row>
    <row r="7" spans="1:10" ht="58.5" customHeight="1">
      <c r="A7" s="207"/>
      <c r="B7" s="141" t="s">
        <v>113</v>
      </c>
      <c r="C7" s="139" t="s">
        <v>108</v>
      </c>
      <c r="D7" s="139">
        <v>1</v>
      </c>
      <c r="E7" s="140">
        <v>68200</v>
      </c>
      <c r="F7" s="140">
        <v>86614</v>
      </c>
      <c r="G7" s="140">
        <f t="shared" si="0"/>
        <v>68200</v>
      </c>
      <c r="H7" s="139" t="s">
        <v>165</v>
      </c>
      <c r="I7" s="146" t="s">
        <v>163</v>
      </c>
      <c r="J7" s="192"/>
    </row>
    <row r="8" spans="1:10" ht="58.25" customHeight="1">
      <c r="A8" s="207"/>
      <c r="B8" s="141" t="s">
        <v>114</v>
      </c>
      <c r="C8" s="139" t="s">
        <v>108</v>
      </c>
      <c r="D8" s="139">
        <v>1</v>
      </c>
      <c r="E8" s="140">
        <v>212200</v>
      </c>
      <c r="F8" s="140">
        <v>269494</v>
      </c>
      <c r="G8" s="140">
        <f t="shared" si="0"/>
        <v>212200</v>
      </c>
      <c r="H8" s="139" t="s">
        <v>166</v>
      </c>
      <c r="I8" s="146" t="s">
        <v>163</v>
      </c>
      <c r="J8" s="192"/>
    </row>
    <row r="9" spans="1:10" ht="57.75" customHeight="1">
      <c r="A9" s="207"/>
      <c r="B9" s="141" t="s">
        <v>115</v>
      </c>
      <c r="C9" s="139" t="s">
        <v>108</v>
      </c>
      <c r="D9" s="139">
        <v>1</v>
      </c>
      <c r="E9" s="140">
        <v>256500</v>
      </c>
      <c r="F9" s="140">
        <v>325755</v>
      </c>
      <c r="G9" s="140">
        <f t="shared" si="0"/>
        <v>256500</v>
      </c>
      <c r="H9" s="139" t="s">
        <v>167</v>
      </c>
      <c r="I9" s="146" t="s">
        <v>163</v>
      </c>
      <c r="J9" s="192"/>
    </row>
    <row r="10" spans="1:10" ht="60">
      <c r="A10" s="207"/>
      <c r="B10" s="141" t="s">
        <v>116</v>
      </c>
      <c r="C10" s="139" t="s">
        <v>108</v>
      </c>
      <c r="D10" s="139">
        <v>1</v>
      </c>
      <c r="E10" s="140">
        <v>152300</v>
      </c>
      <c r="F10" s="140">
        <v>193421</v>
      </c>
      <c r="G10" s="140">
        <f t="shared" si="0"/>
        <v>152300</v>
      </c>
      <c r="H10" s="139" t="s">
        <v>355</v>
      </c>
      <c r="I10" s="146" t="s">
        <v>163</v>
      </c>
      <c r="J10" s="192"/>
    </row>
    <row r="11" spans="1:10">
      <c r="A11" s="188"/>
      <c r="B11" s="189"/>
      <c r="C11" s="189"/>
      <c r="D11" s="189"/>
      <c r="E11" s="189"/>
      <c r="F11" s="189"/>
      <c r="G11" s="189"/>
      <c r="H11" s="189"/>
      <c r="I11" s="189"/>
      <c r="J11" s="190"/>
    </row>
    <row r="12" spans="1:10" ht="16" thickBot="1"/>
    <row r="13" spans="1:10" ht="26.75" customHeight="1" thickBot="1">
      <c r="F13" s="159" t="s">
        <v>177</v>
      </c>
      <c r="G13" s="154">
        <f>SUM(G3:G10)</f>
        <v>1729800</v>
      </c>
    </row>
    <row r="14" spans="1:10" ht="7.5" customHeight="1" thickBot="1">
      <c r="F14" s="112"/>
    </row>
    <row r="15" spans="1:10" ht="23.25" customHeight="1" thickBot="1">
      <c r="F15" s="160" t="s">
        <v>178</v>
      </c>
      <c r="G15" s="154">
        <f>G13*1.27</f>
        <v>2196846</v>
      </c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EEDA31-9841-4CFE-A17C-16946FC3C393}">
  <sheetPr>
    <tabColor rgb="FFC00000"/>
  </sheetPr>
  <dimension ref="A1:AM47"/>
  <sheetViews>
    <sheetView zoomScaleNormal="100" workbookViewId="0">
      <pane xSplit="1" ySplit="4" topLeftCell="D25" activePane="bottomRight" state="frozen"/>
      <selection pane="topRight" activeCell="B1" sqref="B1"/>
      <selection pane="bottomLeft" activeCell="A5" sqref="A5"/>
      <selection pane="bottomRight" activeCell="M36" sqref="M36"/>
    </sheetView>
  </sheetViews>
  <sheetFormatPr baseColWidth="10" defaultColWidth="8.83203125" defaultRowHeight="15"/>
  <cols>
    <col min="1" max="1" width="2" customWidth="1"/>
    <col min="2" max="2" width="6.1640625" style="5" customWidth="1"/>
    <col min="3" max="3" width="22" customWidth="1"/>
    <col min="4" max="4" width="21" customWidth="1"/>
    <col min="5" max="5" width="0.5" customWidth="1"/>
    <col min="6" max="6" width="21.33203125" customWidth="1"/>
    <col min="7" max="7" width="20" customWidth="1"/>
    <col min="8" max="8" width="31.5" customWidth="1"/>
    <col min="9" max="9" width="15.1640625" customWidth="1"/>
    <col min="10" max="10" width="14.1640625" customWidth="1"/>
    <col min="11" max="11" width="13.83203125" customWidth="1"/>
    <col min="12" max="12" width="0.6640625" customWidth="1"/>
    <col min="13" max="13" width="13.83203125" customWidth="1"/>
    <col min="14" max="14" width="0.6640625" customWidth="1"/>
    <col min="15" max="15" width="20" customWidth="1"/>
    <col min="16" max="17" width="13" customWidth="1"/>
    <col min="18" max="18" width="12.83203125" customWidth="1"/>
    <col min="19" max="19" width="1.1640625" customWidth="1"/>
    <col min="20" max="20" width="14.1640625" style="204" customWidth="1"/>
    <col min="21" max="21" width="0.83203125" customWidth="1"/>
    <col min="22" max="22" width="14" customWidth="1"/>
    <col min="23" max="23" width="0.6640625" customWidth="1"/>
    <col min="24" max="24" width="66" customWidth="1"/>
    <col min="25" max="25" width="67.33203125" customWidth="1"/>
    <col min="26" max="26" width="0.83203125" customWidth="1"/>
    <col min="27" max="27" width="18.33203125" customWidth="1"/>
    <col min="28" max="30" width="21.5" customWidth="1"/>
    <col min="31" max="31" width="1.1640625" customWidth="1"/>
    <col min="32" max="35" width="19.83203125" customWidth="1"/>
    <col min="36" max="36" width="17.5" customWidth="1"/>
    <col min="37" max="37" width="0.6640625" customWidth="1"/>
    <col min="38" max="38" width="16" customWidth="1"/>
    <col min="39" max="39" width="2" customWidth="1"/>
  </cols>
  <sheetData>
    <row r="1" spans="1:39" ht="16.5" customHeight="1" thickBot="1">
      <c r="A1" s="208"/>
      <c r="B1" s="209"/>
      <c r="C1" s="208"/>
      <c r="D1" s="208"/>
      <c r="E1" s="208"/>
      <c r="F1" s="208"/>
      <c r="G1" s="208"/>
      <c r="H1" s="208"/>
      <c r="I1" s="208"/>
      <c r="J1" s="208"/>
      <c r="K1" s="208"/>
      <c r="L1" s="208"/>
      <c r="M1" s="208"/>
      <c r="N1" s="208"/>
      <c r="O1" s="208"/>
      <c r="P1" s="208"/>
      <c r="Q1" s="208"/>
      <c r="R1" s="208"/>
      <c r="S1" s="208"/>
      <c r="T1" s="210"/>
      <c r="U1" s="208"/>
      <c r="V1" s="208"/>
      <c r="W1" s="208"/>
      <c r="X1" s="208"/>
      <c r="Y1" s="208"/>
      <c r="Z1" s="208"/>
      <c r="AA1" s="545" t="s">
        <v>295</v>
      </c>
      <c r="AB1" s="545"/>
      <c r="AC1" s="545"/>
      <c r="AD1" s="545"/>
      <c r="AE1" s="208"/>
      <c r="AF1" s="542" t="s">
        <v>296</v>
      </c>
      <c r="AG1" s="542"/>
      <c r="AH1" s="542"/>
      <c r="AI1" s="542"/>
      <c r="AJ1" s="542"/>
      <c r="AK1" s="208"/>
      <c r="AL1" s="208"/>
      <c r="AM1" s="208"/>
    </row>
    <row r="2" spans="1:39" ht="43.25" customHeight="1" thickTop="1">
      <c r="A2" s="208"/>
      <c r="B2" s="503" t="s">
        <v>0</v>
      </c>
      <c r="C2" s="505" t="s">
        <v>1</v>
      </c>
      <c r="D2" s="505" t="s">
        <v>79</v>
      </c>
      <c r="E2" s="511" t="s">
        <v>150</v>
      </c>
      <c r="F2" s="546" t="s">
        <v>89</v>
      </c>
      <c r="G2" s="515" t="s">
        <v>183</v>
      </c>
      <c r="H2" s="515" t="s">
        <v>149</v>
      </c>
      <c r="I2" s="515" t="s">
        <v>74</v>
      </c>
      <c r="J2" s="515" t="s">
        <v>168</v>
      </c>
      <c r="K2" s="549" t="s">
        <v>169</v>
      </c>
      <c r="L2" s="9"/>
      <c r="M2" s="505" t="s">
        <v>170</v>
      </c>
      <c r="O2" s="456" t="s">
        <v>271</v>
      </c>
      <c r="P2" s="518" t="s">
        <v>274</v>
      </c>
      <c r="Q2" s="521" t="s">
        <v>365</v>
      </c>
      <c r="R2" s="513" t="s">
        <v>328</v>
      </c>
      <c r="S2" s="454" t="s">
        <v>198</v>
      </c>
      <c r="T2" s="553" t="s">
        <v>77</v>
      </c>
      <c r="V2" s="553" t="s">
        <v>86</v>
      </c>
      <c r="X2" s="556" t="s">
        <v>87</v>
      </c>
      <c r="Y2" s="549" t="s">
        <v>88</v>
      </c>
      <c r="AA2" s="503" t="s">
        <v>160</v>
      </c>
      <c r="AB2" s="505" t="s">
        <v>158</v>
      </c>
      <c r="AC2" s="505" t="s">
        <v>161</v>
      </c>
      <c r="AD2" s="543" t="s">
        <v>159</v>
      </c>
      <c r="AE2" s="208"/>
      <c r="AF2" s="583" t="s">
        <v>349</v>
      </c>
      <c r="AG2" s="581" t="s">
        <v>297</v>
      </c>
      <c r="AH2" s="505" t="s">
        <v>158</v>
      </c>
      <c r="AI2" s="505" t="s">
        <v>161</v>
      </c>
      <c r="AJ2" s="543" t="s">
        <v>159</v>
      </c>
      <c r="AL2" s="561" t="s">
        <v>376</v>
      </c>
      <c r="AM2" s="208"/>
    </row>
    <row r="3" spans="1:39" ht="30.5" customHeight="1" thickBot="1">
      <c r="A3" s="208"/>
      <c r="B3" s="504"/>
      <c r="C3" s="506"/>
      <c r="D3" s="506"/>
      <c r="E3" s="511"/>
      <c r="F3" s="547"/>
      <c r="G3" s="516"/>
      <c r="H3" s="516"/>
      <c r="I3" s="516"/>
      <c r="J3" s="516"/>
      <c r="K3" s="550"/>
      <c r="L3" s="9"/>
      <c r="M3" s="506"/>
      <c r="O3" s="457"/>
      <c r="P3" s="519"/>
      <c r="Q3" s="522"/>
      <c r="R3" s="514"/>
      <c r="S3" s="455"/>
      <c r="T3" s="554"/>
      <c r="V3" s="554"/>
      <c r="X3" s="557"/>
      <c r="Y3" s="550"/>
      <c r="AA3" s="559"/>
      <c r="AB3" s="560"/>
      <c r="AC3" s="560"/>
      <c r="AD3" s="544"/>
      <c r="AE3" s="208"/>
      <c r="AF3" s="584"/>
      <c r="AG3" s="582"/>
      <c r="AH3" s="560"/>
      <c r="AI3" s="560"/>
      <c r="AJ3" s="544"/>
      <c r="AL3" s="562"/>
      <c r="AM3" s="208"/>
    </row>
    <row r="4" spans="1:39" ht="32.25" customHeight="1" thickBot="1">
      <c r="A4" s="208"/>
      <c r="B4" s="117"/>
      <c r="C4" s="150"/>
      <c r="D4" s="118"/>
      <c r="E4" s="162"/>
      <c r="F4" s="548"/>
      <c r="G4" s="517"/>
      <c r="H4" s="517"/>
      <c r="I4" s="517"/>
      <c r="J4" s="517"/>
      <c r="K4" s="551"/>
      <c r="L4" s="9"/>
      <c r="M4" s="552"/>
      <c r="O4" s="195">
        <f>SUM(O5:O39)</f>
        <v>2</v>
      </c>
      <c r="P4" s="520"/>
      <c r="Q4" s="523"/>
      <c r="R4" s="384">
        <f>SUM(R5:R39)</f>
        <v>5</v>
      </c>
      <c r="S4" s="455"/>
      <c r="T4" s="555"/>
      <c r="V4" s="555"/>
      <c r="X4" s="558"/>
      <c r="Y4" s="551"/>
      <c r="AA4" s="161">
        <f>SUM(AA7:AA11)+AA21</f>
        <v>11200</v>
      </c>
      <c r="AB4" s="287">
        <f>SUM(AB5:AB39)</f>
        <v>466600</v>
      </c>
      <c r="AC4" s="289">
        <f>SUM(AC5:AC39)</f>
        <v>5599200</v>
      </c>
      <c r="AD4" s="288">
        <f>SUM(AD5:AD39)</f>
        <v>16797600</v>
      </c>
      <c r="AE4" s="208"/>
      <c r="AF4" s="584"/>
      <c r="AG4" s="268">
        <f>SUM(AG7:AG11)+AG21</f>
        <v>131028.32459999999</v>
      </c>
      <c r="AH4" s="287">
        <f>SUM(AH5:AH39)</f>
        <v>257418.32459999999</v>
      </c>
      <c r="AI4" s="289">
        <f>SUM(AI5:AI39)</f>
        <v>2489019.8952000001</v>
      </c>
      <c r="AJ4" s="288">
        <f>SUM(AJ5:AJ39)</f>
        <v>7467059.6855999995</v>
      </c>
      <c r="AL4" s="364">
        <f>AD4-AJ4</f>
        <v>9330540.3144000005</v>
      </c>
      <c r="AM4" s="208"/>
    </row>
    <row r="5" spans="1:39" ht="28.5" customHeight="1" thickTop="1" thickBot="1">
      <c r="A5" s="208"/>
      <c r="B5" s="198" t="s">
        <v>2</v>
      </c>
      <c r="C5" s="199" t="s">
        <v>72</v>
      </c>
      <c r="D5" s="200" t="s">
        <v>81</v>
      </c>
      <c r="E5" s="163"/>
      <c r="F5" s="507" t="s">
        <v>3</v>
      </c>
      <c r="G5" s="508"/>
      <c r="H5" s="508"/>
      <c r="I5" s="509"/>
      <c r="J5" s="509"/>
      <c r="K5" s="510"/>
      <c r="L5" s="7"/>
      <c r="M5" s="66" t="s">
        <v>83</v>
      </c>
      <c r="O5" s="251">
        <f>IF(Alapadatok!I22,1,0)</f>
        <v>1</v>
      </c>
      <c r="P5" s="293" t="str">
        <f>IF(Alapadatok!I22,"Már rendelkezik vele!"," - ")</f>
        <v>Már rendelkezik vele!</v>
      </c>
      <c r="Q5" s="333"/>
      <c r="R5" s="196"/>
      <c r="S5" s="205"/>
      <c r="T5" s="201"/>
      <c r="U5" s="202"/>
      <c r="V5" s="201"/>
      <c r="X5" s="499" t="s">
        <v>103</v>
      </c>
      <c r="Y5" s="500"/>
      <c r="AA5" s="424" t="s">
        <v>81</v>
      </c>
      <c r="AB5" s="425"/>
      <c r="AC5" s="425"/>
      <c r="AD5" s="426"/>
      <c r="AE5" s="208"/>
      <c r="AF5" s="424" t="s">
        <v>81</v>
      </c>
      <c r="AG5" s="425"/>
      <c r="AH5" s="425"/>
      <c r="AI5" s="425"/>
      <c r="AJ5" s="426"/>
      <c r="AL5" s="563" t="s">
        <v>81</v>
      </c>
      <c r="AM5" s="208"/>
    </row>
    <row r="6" spans="1:39" ht="28.5" customHeight="1" thickTop="1" thickBot="1">
      <c r="A6" s="208"/>
      <c r="B6" s="198" t="s">
        <v>4</v>
      </c>
      <c r="C6" s="199" t="s">
        <v>73</v>
      </c>
      <c r="D6" s="200" t="s">
        <v>81</v>
      </c>
      <c r="E6" s="163"/>
      <c r="F6" s="507" t="s">
        <v>3</v>
      </c>
      <c r="G6" s="508"/>
      <c r="H6" s="508"/>
      <c r="I6" s="509"/>
      <c r="J6" s="509"/>
      <c r="K6" s="510"/>
      <c r="L6" s="7"/>
      <c r="M6" s="66" t="s">
        <v>83</v>
      </c>
      <c r="O6" s="252">
        <f>IF(Alapadatok!I23,1,0)</f>
        <v>0</v>
      </c>
      <c r="P6" s="293" t="str">
        <f>IF(Alapadatok!I23,"Már rendelkezik vele!"," - ")</f>
        <v xml:space="preserve"> - </v>
      </c>
      <c r="Q6" s="333"/>
      <c r="R6" s="197"/>
      <c r="S6" s="205"/>
      <c r="T6" s="201"/>
      <c r="U6" s="202"/>
      <c r="V6" s="201"/>
      <c r="X6" s="501"/>
      <c r="Y6" s="502"/>
      <c r="AA6" s="418"/>
      <c r="AB6" s="419"/>
      <c r="AC6" s="419"/>
      <c r="AD6" s="420"/>
      <c r="AE6" s="208"/>
      <c r="AF6" s="418"/>
      <c r="AG6" s="419"/>
      <c r="AH6" s="419"/>
      <c r="AI6" s="419"/>
      <c r="AJ6" s="420"/>
      <c r="AL6" s="564"/>
      <c r="AM6" s="208"/>
    </row>
    <row r="7" spans="1:39" ht="38.25" customHeight="1" thickTop="1">
      <c r="A7" s="208"/>
      <c r="B7" s="484" t="s">
        <v>5</v>
      </c>
      <c r="C7" s="476" t="s">
        <v>157</v>
      </c>
      <c r="D7" s="165" t="s">
        <v>80</v>
      </c>
      <c r="E7" s="164" t="b">
        <f>OR(IF(D7="Már rendelkezik vele",1,0),IF(D7="Pályázatból szerzi be",1,0),)</f>
        <v>1</v>
      </c>
      <c r="F7" s="123" t="s">
        <v>7</v>
      </c>
      <c r="G7" s="119" t="s">
        <v>184</v>
      </c>
      <c r="H7" s="443" t="str">
        <f>IF(AND(D7="Nem releváns",D8="Nem releváns",D9="Nem releváns"),
   "Nem választott fejlesztési cél",
   IF(AND(E7,E8,E9),
      CONCATENATE('Egyéb költségek'!A7,CHAR(10),"TELJESÜL"),
      CONCATENATE('Egyéb költségek'!A7,CHAR(10),"NEM TELJESÜL")
   )
)</f>
        <v>A fejlesztési célon belül MINDEN összetevő teljesítése 
KÖTELEZŐ. 
TELJESÜL</v>
      </c>
      <c r="I7" s="30" t="s">
        <v>8</v>
      </c>
      <c r="J7" s="31">
        <v>5900</v>
      </c>
      <c r="K7" s="32">
        <v>7493</v>
      </c>
      <c r="L7" s="10"/>
      <c r="M7" s="224">
        <v>1</v>
      </c>
      <c r="O7" s="427">
        <f>IF(Alapadatok!I24,1,0)</f>
        <v>1</v>
      </c>
      <c r="P7" s="427" t="str">
        <f>IF(AND(O7=1,OR(E7,E8,E9)),"VAN","NINCS")</f>
        <v>VAN</v>
      </c>
      <c r="Q7" s="427" t="str">
        <f>IF(AND(E7,E8,E9,E14),"VAN","NINCS")</f>
        <v>NINCS</v>
      </c>
      <c r="R7" s="434" t="str">
        <f>IF(AND(E7,E8,E9,P7="NINCS"),1,"Nem adható pont")</f>
        <v>Nem adható pont</v>
      </c>
      <c r="S7" s="205" t="s">
        <v>195</v>
      </c>
      <c r="T7" s="255" t="str">
        <f>IF(AND($D7="Pályázatból szerzi be",O7=0),$M7*Alapadatok!$H$16*J7," - ")</f>
        <v xml:space="preserve"> - </v>
      </c>
      <c r="V7" s="61">
        <f>IF($D7="Pályázatból szerzi be",$M7*Alapadatok!$H$16*K7,"")</f>
        <v>89916</v>
      </c>
      <c r="X7" s="496" t="s">
        <v>367</v>
      </c>
      <c r="Y7" s="75" t="s">
        <v>93</v>
      </c>
      <c r="AA7" s="128">
        <f>IF(AND(E7,E8,E9,D7="Pályázatból szerzi be"),J7,0)</f>
        <v>5900</v>
      </c>
      <c r="AB7" s="129">
        <f>AA7*M7</f>
        <v>5900</v>
      </c>
      <c r="AC7" s="137">
        <f>AB7*12</f>
        <v>70800</v>
      </c>
      <c r="AD7" s="130">
        <f>AB7*36</f>
        <v>212400</v>
      </c>
      <c r="AE7" s="208"/>
      <c r="AF7" s="301" t="s">
        <v>283</v>
      </c>
      <c r="AG7" s="356">
        <f>_xlfn.XLOOKUP(AF7,'Alternatív termékek'!A5:A21,'Alternatív termékek'!B5:B21,"HIBA")</f>
        <v>1729.1975999999997</v>
      </c>
      <c r="AH7" s="272">
        <f>IF(AND(E7,E8,E9,D7="Pályázatból szerzi be"),M7*AG7,0)</f>
        <v>1729.1975999999997</v>
      </c>
      <c r="AI7" s="137">
        <f>AH7*12</f>
        <v>20750.371199999998</v>
      </c>
      <c r="AJ7" s="130">
        <f>AH7*36</f>
        <v>62251.11359999999</v>
      </c>
      <c r="AL7" s="361">
        <f>AD7-AJ7</f>
        <v>150148.88640000002</v>
      </c>
      <c r="AM7" s="208"/>
    </row>
    <row r="8" spans="1:39" ht="33.5" customHeight="1">
      <c r="A8" s="208"/>
      <c r="B8" s="512"/>
      <c r="C8" s="477"/>
      <c r="D8" s="120" t="s">
        <v>80</v>
      </c>
      <c r="E8" s="164" t="b">
        <f t="shared" ref="E8:E11" si="0">OR(IF(D8="Már rendelkezik vele",1,0),IF(D8="Pályázatból szerzi be",1,0),)</f>
        <v>1</v>
      </c>
      <c r="F8" s="124" t="s">
        <v>9</v>
      </c>
      <c r="G8" s="331" t="s">
        <v>351</v>
      </c>
      <c r="H8" s="444"/>
      <c r="I8" s="55" t="s">
        <v>10</v>
      </c>
      <c r="J8" s="56">
        <v>200</v>
      </c>
      <c r="K8" s="57">
        <v>254</v>
      </c>
      <c r="L8" s="10"/>
      <c r="M8" s="246" t="s">
        <v>83</v>
      </c>
      <c r="O8" s="428"/>
      <c r="P8" s="428"/>
      <c r="Q8" s="428"/>
      <c r="R8" s="435"/>
      <c r="S8" s="205" t="s">
        <v>195</v>
      </c>
      <c r="T8" s="151">
        <f>IF(D8="Pályázatból szerzi be",Alapadatok!$H$16*J8,"")</f>
        <v>2400</v>
      </c>
      <c r="V8" s="151">
        <f>IF($D8="Pályázatból szerzi be",Alapadatok!$H$16*K8,"")</f>
        <v>3048</v>
      </c>
      <c r="X8" s="497"/>
      <c r="Y8" s="76" t="s">
        <v>94</v>
      </c>
      <c r="AA8" s="148"/>
      <c r="AB8" s="218">
        <f>IF(AND(E7,E8,E9,D8="Pályázatból szerzi be"),J8,0)</f>
        <v>200</v>
      </c>
      <c r="AC8" s="219">
        <f>AB8*12</f>
        <v>2400</v>
      </c>
      <c r="AD8" s="220">
        <f>AB8*36</f>
        <v>7200</v>
      </c>
      <c r="AE8" s="208"/>
      <c r="AF8" s="271" t="s">
        <v>300</v>
      </c>
      <c r="AG8" s="357"/>
      <c r="AH8" s="358">
        <f>IF(AND(E7,E8,E9,D7="Pályázatból szerzi be"),J8,0)</f>
        <v>200</v>
      </c>
      <c r="AI8" s="270">
        <f>AH8*12</f>
        <v>2400</v>
      </c>
      <c r="AJ8" s="269">
        <f>AH8*36</f>
        <v>7200</v>
      </c>
      <c r="AL8" s="379">
        <f>AD8-AJ8</f>
        <v>0</v>
      </c>
      <c r="AM8" s="208"/>
    </row>
    <row r="9" spans="1:39" ht="33.75" customHeight="1" thickBot="1">
      <c r="A9" s="208"/>
      <c r="B9" s="485"/>
      <c r="C9" s="479"/>
      <c r="D9" s="166" t="s">
        <v>80</v>
      </c>
      <c r="E9" s="164" t="b">
        <f t="shared" si="0"/>
        <v>1</v>
      </c>
      <c r="F9" s="121" t="s">
        <v>11</v>
      </c>
      <c r="G9" s="182" t="s">
        <v>201</v>
      </c>
      <c r="H9" s="451"/>
      <c r="I9" s="16" t="s">
        <v>10</v>
      </c>
      <c r="J9" s="17">
        <v>127300</v>
      </c>
      <c r="K9" s="18">
        <v>161671</v>
      </c>
      <c r="L9" s="10"/>
      <c r="M9" s="223" t="s">
        <v>83</v>
      </c>
      <c r="O9" s="429"/>
      <c r="P9" s="429"/>
      <c r="Q9" s="429"/>
      <c r="R9" s="436"/>
      <c r="S9" s="205" t="s">
        <v>196</v>
      </c>
      <c r="T9" s="62">
        <f>IF(D9="Pályázatból szerzi be",Alapadatok!$H$16*J9,"")</f>
        <v>1527600</v>
      </c>
      <c r="V9" s="62">
        <f>IF($D9="Pályázatból szerzi be",Alapadatok!$H$16*K9,"")</f>
        <v>1940052</v>
      </c>
      <c r="X9" s="498"/>
      <c r="Y9" s="77" t="s">
        <v>95</v>
      </c>
      <c r="AA9" s="149"/>
      <c r="AB9" s="134">
        <f>IF(AND(E7,E8,E9,D9="Pályázatból szerzi be"),J9,0)</f>
        <v>127300</v>
      </c>
      <c r="AC9" s="138">
        <f>AB9*12</f>
        <v>1527600</v>
      </c>
      <c r="AD9" s="135">
        <f>AB9*36</f>
        <v>4582800</v>
      </c>
      <c r="AE9" s="208"/>
      <c r="AF9" s="284" t="s">
        <v>326</v>
      </c>
      <c r="AG9" s="346">
        <v>100000</v>
      </c>
      <c r="AH9" s="134">
        <f>IF(AND(E7,E8,E9,D9="Pályázatból szerzi be"),AG9,0)</f>
        <v>100000</v>
      </c>
      <c r="AI9" s="285">
        <f>AH9*12</f>
        <v>1200000</v>
      </c>
      <c r="AJ9" s="132">
        <f>AH9*36</f>
        <v>3600000</v>
      </c>
      <c r="AL9" s="379">
        <f>AD9-AJ9</f>
        <v>982800</v>
      </c>
      <c r="AM9" s="208"/>
    </row>
    <row r="10" spans="1:39" ht="32.25" customHeight="1" thickTop="1">
      <c r="A10" s="208"/>
      <c r="B10" s="484" t="s">
        <v>12</v>
      </c>
      <c r="C10" s="476" t="s">
        <v>13</v>
      </c>
      <c r="D10" s="165" t="s">
        <v>80</v>
      </c>
      <c r="E10" s="164" t="b">
        <f t="shared" si="0"/>
        <v>1</v>
      </c>
      <c r="F10" s="123" t="s">
        <v>14</v>
      </c>
      <c r="G10" s="123" t="s">
        <v>194</v>
      </c>
      <c r="H10" s="443" t="str">
        <f>IF(AND(D10="Nem releváns",D11="Nem releváns"),
   "Nem választott fejlesztési cél",
   IF(AND(E10,E11),
      CONCATENATE('Egyéb költségek'!$A$7,CHAR(10),"TELJESÜL"),
      CONCATENATE('Egyéb költségek'!$A$7,CHAR(10),"NEM TELJESÜL")
   )
)</f>
        <v>A fejlesztési célon belül MINDEN összetevő teljesítése 
KÖTELEZŐ. 
TELJESÜL</v>
      </c>
      <c r="I10" s="178" t="s">
        <v>8</v>
      </c>
      <c r="J10" s="31">
        <v>5300</v>
      </c>
      <c r="K10" s="32">
        <v>6731</v>
      </c>
      <c r="L10" s="10"/>
      <c r="M10" s="224">
        <v>1</v>
      </c>
      <c r="O10" s="427">
        <f>IF(Alapadatok!I25,1,0)</f>
        <v>0</v>
      </c>
      <c r="P10" s="427" t="str">
        <f>IF(AND(O10=1,OR(E10,E11)),"VAN","NINCS")</f>
        <v>NINCS</v>
      </c>
      <c r="Q10" s="427"/>
      <c r="R10" s="462">
        <f>IF(AND(E10,E11,P10="NINCS"),1,"Nem adható pont")</f>
        <v>1</v>
      </c>
      <c r="S10" s="203" t="s">
        <v>195</v>
      </c>
      <c r="T10" s="61">
        <f>IF(AND(D10="Pályázatból szerzi be",D11="Pályázatból szerzi be"),M10*Alapadatok!$H$16*J10,"")</f>
        <v>63600</v>
      </c>
      <c r="V10" s="61">
        <f>IF($D10="Pályázatból szerzi be",$M10*Alapadatok!$H$16*K10,"")</f>
        <v>80772</v>
      </c>
      <c r="X10" s="527" t="s">
        <v>368</v>
      </c>
      <c r="Y10" s="75" t="s">
        <v>96</v>
      </c>
      <c r="AA10" s="128">
        <f>IF(AND(E10,E11,D10="Pályázatból szerzi be"),J10,0)</f>
        <v>5300</v>
      </c>
      <c r="AB10" s="129">
        <f>AA10*M10</f>
        <v>5300</v>
      </c>
      <c r="AC10" s="137">
        <f>AB10*12</f>
        <v>63600</v>
      </c>
      <c r="AD10" s="130">
        <f>AB10*36</f>
        <v>190800</v>
      </c>
      <c r="AE10" s="208"/>
      <c r="AF10" s="302" t="s">
        <v>323</v>
      </c>
      <c r="AG10" s="356">
        <f>_xlfn.XLOOKUP(AF10,'Alternatív termékek'!A21:A25,'Alternatív termékek'!B21:B25,"HIBA")</f>
        <v>3299.1269999999995</v>
      </c>
      <c r="AH10" s="272">
        <f>IF(AND(E10,E11,D10="Pályázatból szerzi be"),M10*AG10,0)</f>
        <v>3299.1269999999995</v>
      </c>
      <c r="AI10" s="137">
        <f>AH10*12</f>
        <v>39589.52399999999</v>
      </c>
      <c r="AJ10" s="130">
        <f>AH10*36</f>
        <v>118768.57199999999</v>
      </c>
      <c r="AK10" s="286"/>
      <c r="AL10" s="361">
        <f>AD10-AJ10</f>
        <v>72031.428000000014</v>
      </c>
      <c r="AM10" s="208"/>
    </row>
    <row r="11" spans="1:39" ht="32.25" customHeight="1" thickBot="1">
      <c r="A11" s="208"/>
      <c r="B11" s="485"/>
      <c r="C11" s="479"/>
      <c r="D11" s="166" t="s">
        <v>80</v>
      </c>
      <c r="E11" s="164" t="b">
        <f t="shared" si="0"/>
        <v>1</v>
      </c>
      <c r="F11" s="125" t="s">
        <v>15</v>
      </c>
      <c r="G11" s="181" t="s">
        <v>201</v>
      </c>
      <c r="H11" s="444"/>
      <c r="I11" s="16" t="s">
        <v>10</v>
      </c>
      <c r="J11" s="17">
        <v>53000</v>
      </c>
      <c r="K11" s="18">
        <v>67310</v>
      </c>
      <c r="L11" s="10"/>
      <c r="M11" s="223" t="s">
        <v>83</v>
      </c>
      <c r="O11" s="429"/>
      <c r="P11" s="428"/>
      <c r="Q11" s="428"/>
      <c r="R11" s="463"/>
      <c r="S11" s="203" t="s">
        <v>196</v>
      </c>
      <c r="T11" s="62">
        <f>IF(AND(D10="Pályázatból szerzi be",D11="Pályázatból szerzi be"),Alapadatok!$H$16*J11,"")</f>
        <v>636000</v>
      </c>
      <c r="V11" s="62">
        <f>IF($D11="Pályázatból szerzi be",Alapadatok!$H$16*K11,"")</f>
        <v>807720</v>
      </c>
      <c r="X11" s="529"/>
      <c r="Y11" s="77" t="s">
        <v>275</v>
      </c>
      <c r="AA11" s="149"/>
      <c r="AB11" s="134">
        <f>IF(AND(E10,E11,D11="Pályázatból szerzi be"),J11,0)</f>
        <v>53000</v>
      </c>
      <c r="AC11" s="138">
        <f>AB11*12</f>
        <v>636000</v>
      </c>
      <c r="AD11" s="135">
        <f>AB11*36</f>
        <v>1908000</v>
      </c>
      <c r="AE11" s="208"/>
      <c r="AF11" s="378" t="s">
        <v>326</v>
      </c>
      <c r="AG11" s="349">
        <v>20000</v>
      </c>
      <c r="AH11" s="134">
        <f>IF(AND(E10,E11,D11="Pályázatból szerzi be"),AG11,0)</f>
        <v>20000</v>
      </c>
      <c r="AI11" s="138">
        <f>AH11*12</f>
        <v>240000</v>
      </c>
      <c r="AJ11" s="135">
        <f>AH11*36</f>
        <v>720000</v>
      </c>
      <c r="AK11" s="280"/>
      <c r="AL11" s="362">
        <f>AD11-AJ11</f>
        <v>1188000</v>
      </c>
      <c r="AM11" s="208"/>
    </row>
    <row r="12" spans="1:39" ht="51" customHeight="1" thickTop="1">
      <c r="A12" s="208"/>
      <c r="B12" s="486" t="s">
        <v>16</v>
      </c>
      <c r="C12" s="488" t="s">
        <v>17</v>
      </c>
      <c r="D12" s="165" t="s">
        <v>81</v>
      </c>
      <c r="E12" s="164" t="b">
        <f>OR(IF(D12="Már rendelkezik vele",1,0),IF(D12="Pályázatból szerzi be",1,0),)</f>
        <v>0</v>
      </c>
      <c r="F12" s="337" t="s">
        <v>90</v>
      </c>
      <c r="G12" s="338" t="s">
        <v>192</v>
      </c>
      <c r="H12" s="445" t="s">
        <v>152</v>
      </c>
      <c r="I12" s="247" t="s">
        <v>19</v>
      </c>
      <c r="J12" s="339">
        <v>76300</v>
      </c>
      <c r="K12" s="340">
        <v>96901</v>
      </c>
      <c r="L12" s="10"/>
      <c r="M12" s="224">
        <v>4</v>
      </c>
      <c r="O12" s="427">
        <f>IF(Alapadatok!I26,1,0)</f>
        <v>0</v>
      </c>
      <c r="P12" s="427" t="str">
        <f>IF(AND(O12=1,OR(E12,E13)),"VAN","NINCS")</f>
        <v>NINCS</v>
      </c>
      <c r="Q12" s="427"/>
      <c r="R12" s="434" t="str">
        <f>IF(AND(E12,P12="NINCS"),1,"Nem adható pont")</f>
        <v>Nem adható pont</v>
      </c>
      <c r="S12" s="203" t="s">
        <v>197</v>
      </c>
      <c r="T12" s="245">
        <f>IF(D12="Pályázatból szerzi be",M12*J12,0)</f>
        <v>0</v>
      </c>
      <c r="V12" s="245" t="str">
        <f>IF(D12="Pályázatból szerzi be",M12*K12,"")</f>
        <v/>
      </c>
      <c r="X12" s="532" t="s">
        <v>97</v>
      </c>
      <c r="Y12" s="538" t="s">
        <v>98</v>
      </c>
      <c r="AA12" s="575" t="s">
        <v>81</v>
      </c>
      <c r="AB12" s="576"/>
      <c r="AC12" s="576"/>
      <c r="AD12" s="577"/>
      <c r="AE12" s="208"/>
      <c r="AF12" s="565" t="s">
        <v>327</v>
      </c>
      <c r="AG12" s="566"/>
      <c r="AH12" s="566"/>
      <c r="AI12" s="566"/>
      <c r="AJ12" s="567"/>
      <c r="AL12" s="563" t="s">
        <v>81</v>
      </c>
      <c r="AM12" s="208"/>
    </row>
    <row r="13" spans="1:39" ht="49.5" customHeight="1" thickBot="1">
      <c r="A13" s="208"/>
      <c r="B13" s="487"/>
      <c r="C13" s="489"/>
      <c r="D13" s="166" t="s">
        <v>81</v>
      </c>
      <c r="E13" s="164" t="b">
        <f t="shared" ref="E13:E39" si="1">OR(IF(D13="Már rendelkezik vele",1,0),IF(D13="Pályázatból szerzi be",1,0),)</f>
        <v>0</v>
      </c>
      <c r="F13" s="341" t="s">
        <v>91</v>
      </c>
      <c r="G13" s="341" t="s">
        <v>192</v>
      </c>
      <c r="H13" s="446"/>
      <c r="I13" s="60" t="s">
        <v>19</v>
      </c>
      <c r="J13" s="342">
        <v>191100</v>
      </c>
      <c r="K13" s="343">
        <v>242697</v>
      </c>
      <c r="L13" s="10"/>
      <c r="M13" s="243">
        <v>4</v>
      </c>
      <c r="O13" s="429"/>
      <c r="P13" s="428"/>
      <c r="Q13" s="428"/>
      <c r="R13" s="436"/>
      <c r="S13" s="203" t="s">
        <v>197</v>
      </c>
      <c r="T13" s="244">
        <f>IF(D13="Pályázatból szerzi be",M13*J13,0)</f>
        <v>0</v>
      </c>
      <c r="V13" s="244" t="str">
        <f>IF(D13="Pályázatból szerzi be",M13*K13,"")</f>
        <v/>
      </c>
      <c r="X13" s="535"/>
      <c r="Y13" s="541"/>
      <c r="AA13" s="578"/>
      <c r="AB13" s="579"/>
      <c r="AC13" s="579"/>
      <c r="AD13" s="580"/>
      <c r="AE13" s="208"/>
      <c r="AF13" s="568"/>
      <c r="AG13" s="569"/>
      <c r="AH13" s="569"/>
      <c r="AI13" s="569"/>
      <c r="AJ13" s="570"/>
      <c r="AL13" s="564"/>
      <c r="AM13" s="208"/>
    </row>
    <row r="14" spans="1:39" ht="48.5" customHeight="1" thickTop="1" thickBot="1">
      <c r="A14" s="208"/>
      <c r="B14" s="186" t="s">
        <v>21</v>
      </c>
      <c r="C14" s="20" t="s">
        <v>22</v>
      </c>
      <c r="D14" s="126" t="s">
        <v>81</v>
      </c>
      <c r="E14" s="164" t="b">
        <f t="shared" si="1"/>
        <v>0</v>
      </c>
      <c r="F14" s="126" t="s">
        <v>22</v>
      </c>
      <c r="G14" s="20" t="s">
        <v>378</v>
      </c>
      <c r="H14" s="21" t="s">
        <v>154</v>
      </c>
      <c r="I14" s="89" t="s">
        <v>23</v>
      </c>
      <c r="J14" s="22">
        <v>9200</v>
      </c>
      <c r="K14" s="23">
        <v>11684</v>
      </c>
      <c r="L14" s="10"/>
      <c r="M14" s="69">
        <v>115</v>
      </c>
      <c r="O14" s="253">
        <f>IF(Alapadatok!I27,1,0)</f>
        <v>0</v>
      </c>
      <c r="P14" s="253" t="str">
        <f>IF(AND(O14=1,E14),"VAN","NINCS")</f>
        <v>NINCS</v>
      </c>
      <c r="Q14" s="253" t="str">
        <f>IF(AND(E7,E8,E9,E14),"VAN","NINCS")</f>
        <v>NINCS</v>
      </c>
      <c r="R14" s="262" t="str">
        <f>IF(AND(E14,P14="NINCS"),1,"Nem adható pont")</f>
        <v>Nem adható pont</v>
      </c>
      <c r="S14" s="205" t="s">
        <v>196</v>
      </c>
      <c r="T14" s="63" t="str">
        <f>IF(D14="Pályázatból szerzi be",M14*J14,"")</f>
        <v/>
      </c>
      <c r="V14" s="63" t="str">
        <f>IF(D14="Pályázatból szerzi be",M14*K14,"")</f>
        <v/>
      </c>
      <c r="X14" s="78" t="s">
        <v>369</v>
      </c>
      <c r="Y14" s="79" t="s">
        <v>102</v>
      </c>
      <c r="AA14" s="524" t="str">
        <f>IF(D14="Pályázatból szerzi be","Megegyezés szerint","Nem releváns, nem volt ilyen fejlesztési cél kiválasztva")</f>
        <v>Nem releváns, nem volt ilyen fejlesztési cél kiválasztva</v>
      </c>
      <c r="AB14" s="525"/>
      <c r="AC14" s="525"/>
      <c r="AD14" s="526"/>
      <c r="AE14" s="208"/>
      <c r="AF14" s="571" t="str">
        <f>IF(D14="Pályázatból szerzi be","Megegyezés szerint","Nem releváns, nem volt ilyen fejlesztési cél kiválasztva")</f>
        <v>Nem releváns, nem volt ilyen fejlesztési cél kiválasztva</v>
      </c>
      <c r="AG14" s="572"/>
      <c r="AH14" s="572"/>
      <c r="AI14" s="572"/>
      <c r="AJ14" s="573"/>
      <c r="AL14" s="360" t="s">
        <v>81</v>
      </c>
      <c r="AM14" s="208"/>
    </row>
    <row r="15" spans="1:39" ht="56.75" customHeight="1" thickTop="1" thickBot="1">
      <c r="A15" s="208"/>
      <c r="B15" s="214" t="s">
        <v>24</v>
      </c>
      <c r="C15" s="24" t="s">
        <v>25</v>
      </c>
      <c r="D15" s="126" t="s">
        <v>81</v>
      </c>
      <c r="E15" s="164" t="b">
        <f t="shared" si="1"/>
        <v>0</v>
      </c>
      <c r="F15" s="374" t="s">
        <v>92</v>
      </c>
      <c r="G15" s="377" t="s">
        <v>352</v>
      </c>
      <c r="H15" s="89" t="s">
        <v>154</v>
      </c>
      <c r="I15" s="89" t="s">
        <v>19</v>
      </c>
      <c r="J15" s="375">
        <v>207100</v>
      </c>
      <c r="K15" s="376">
        <v>263017</v>
      </c>
      <c r="L15" s="10"/>
      <c r="M15" s="70">
        <v>5</v>
      </c>
      <c r="O15" s="253">
        <f>IF(Alapadatok!I28,1,0)</f>
        <v>0</v>
      </c>
      <c r="P15" s="253" t="str">
        <f>IF(AND(O15=1,E15),"VAN","NINCS")</f>
        <v>NINCS</v>
      </c>
      <c r="Q15" s="253"/>
      <c r="R15" s="263" t="str">
        <f>IF(AND(E15,P15="NINCS"),1,"Nem adható pont")</f>
        <v>Nem adható pont</v>
      </c>
      <c r="S15" s="205" t="s">
        <v>197</v>
      </c>
      <c r="T15" s="63">
        <f>IF(D15="Pályázatból szerzi be",M15*J15,0)</f>
        <v>0</v>
      </c>
      <c r="V15" s="63" t="str">
        <f>IF(D15="Pályázatból szerzi be",M15*K15,"")</f>
        <v/>
      </c>
      <c r="X15" s="78" t="s">
        <v>370</v>
      </c>
      <c r="Y15" s="79" t="s">
        <v>99</v>
      </c>
      <c r="AA15" s="524" t="s">
        <v>327</v>
      </c>
      <c r="AB15" s="525"/>
      <c r="AC15" s="525"/>
      <c r="AD15" s="526"/>
      <c r="AE15" s="208"/>
      <c r="AF15" s="571" t="s">
        <v>327</v>
      </c>
      <c r="AG15" s="572"/>
      <c r="AH15" s="572"/>
      <c r="AI15" s="572"/>
      <c r="AJ15" s="573"/>
      <c r="AL15" s="360" t="s">
        <v>81</v>
      </c>
      <c r="AM15" s="208"/>
    </row>
    <row r="16" spans="1:39" ht="37.25" customHeight="1" thickTop="1">
      <c r="A16" s="208"/>
      <c r="B16" s="474" t="s">
        <v>27</v>
      </c>
      <c r="C16" s="476" t="s">
        <v>28</v>
      </c>
      <c r="D16" s="165" t="s">
        <v>81</v>
      </c>
      <c r="E16" s="164" t="b">
        <f t="shared" si="1"/>
        <v>0</v>
      </c>
      <c r="F16" s="123" t="s">
        <v>29</v>
      </c>
      <c r="G16" s="123" t="s">
        <v>185</v>
      </c>
      <c r="H16" s="443" t="str">
        <f>IF(AND(E16,E17),CONCATENATE('Egyéb költségek'!A7,CHAR(10),"TELJESÜL"),CONCATENATE('Egyéb költségek'!A7,CHAR(10),"NEM TELJESÜL"))</f>
        <v>A fejlesztési célon belül MINDEN összetevő teljesítése 
KÖTELEZŐ. 
NEM TELJESÜL</v>
      </c>
      <c r="I16" s="247" t="s">
        <v>30</v>
      </c>
      <c r="J16" s="31">
        <v>1400</v>
      </c>
      <c r="K16" s="32">
        <v>1778</v>
      </c>
      <c r="L16" s="10"/>
      <c r="M16" s="249">
        <v>3</v>
      </c>
      <c r="O16" s="427">
        <f>IF(Alapadatok!I29,1,0)</f>
        <v>0</v>
      </c>
      <c r="P16" s="427" t="str">
        <f>IF(AND(O16=1,OR(E16,E17)),"VAN","NINCS")</f>
        <v>NINCS</v>
      </c>
      <c r="Q16" s="427"/>
      <c r="R16" s="464" t="str">
        <f>IF(AND(E16,E17,P16="NINCS"),1,"Nem adható pont")</f>
        <v>Nem adható pont</v>
      </c>
      <c r="S16" s="205" t="s">
        <v>195</v>
      </c>
      <c r="T16" s="61" t="str">
        <f>IF(D16="Pályázatból szerzi be",M16*J16*Alapadatok!$H$16,"")</f>
        <v/>
      </c>
      <c r="V16" s="61" t="str">
        <f>IF($D16="Pályázatból szerzi be",$M16*Alapadatok!$H$16*K16,"")</f>
        <v/>
      </c>
      <c r="X16" s="532" t="s">
        <v>371</v>
      </c>
      <c r="Y16" s="538" t="s">
        <v>100</v>
      </c>
      <c r="AA16" s="294">
        <f>IF(AND(E16,E17,D16="Pályázatból szerzi be"),J16,0)</f>
        <v>0</v>
      </c>
      <c r="AB16" s="129">
        <f>AA16*M16</f>
        <v>0</v>
      </c>
      <c r="AC16" s="137">
        <f>AB16*12</f>
        <v>0</v>
      </c>
      <c r="AD16" s="130">
        <f>AB16*36</f>
        <v>0</v>
      </c>
      <c r="AE16" s="208"/>
      <c r="AF16" s="302" t="s">
        <v>333</v>
      </c>
      <c r="AG16" s="354">
        <f>_xlfn.XLOOKUP(AF16,'Alternatív termékek'!A26:A36,'Alternatív termékek'!B26:B36,"HIBA")</f>
        <v>1800</v>
      </c>
      <c r="AH16" s="129">
        <f>IF(AND(E16,E17),AG16*M16,0)</f>
        <v>0</v>
      </c>
      <c r="AI16" s="137">
        <f>AH16*12</f>
        <v>0</v>
      </c>
      <c r="AJ16" s="130">
        <f>AH16*36</f>
        <v>0</v>
      </c>
      <c r="AL16" s="361" t="str">
        <f>IF(AND(E16,E17),AD16-AJ16,"Nem releváns")</f>
        <v>Nem releváns</v>
      </c>
      <c r="AM16" s="208"/>
    </row>
    <row r="17" spans="1:39" ht="37.25" customHeight="1" thickBot="1">
      <c r="A17" s="208"/>
      <c r="B17" s="478"/>
      <c r="C17" s="479"/>
      <c r="D17" s="166" t="s">
        <v>81</v>
      </c>
      <c r="E17" s="164" t="b">
        <f t="shared" si="1"/>
        <v>0</v>
      </c>
      <c r="F17" s="125" t="s">
        <v>31</v>
      </c>
      <c r="G17" s="124" t="s">
        <v>193</v>
      </c>
      <c r="H17" s="444"/>
      <c r="I17" s="60" t="s">
        <v>30</v>
      </c>
      <c r="J17" s="17">
        <v>3000</v>
      </c>
      <c r="K17" s="18">
        <v>3810</v>
      </c>
      <c r="L17" s="10"/>
      <c r="M17" s="248">
        <v>3</v>
      </c>
      <c r="O17" s="429"/>
      <c r="P17" s="429"/>
      <c r="Q17" s="429"/>
      <c r="R17" s="465"/>
      <c r="S17" s="205" t="s">
        <v>195</v>
      </c>
      <c r="T17" s="62" t="str">
        <f>IF(D17="Pályázatból szerzi be",M17*J17*Alapadatok!$H$16,"")</f>
        <v/>
      </c>
      <c r="V17" s="62" t="str">
        <f>IF($D17="Pályázatból szerzi be",$M17*Alapadatok!$H$16*K17,"")</f>
        <v/>
      </c>
      <c r="X17" s="535"/>
      <c r="Y17" s="541"/>
      <c r="AA17" s="295">
        <f>IF(AND(E16,E17,D17="Pályázatból szerzi be"),J17,0)</f>
        <v>0</v>
      </c>
      <c r="AB17" s="134">
        <f>IF(AND(E16,E17,D17="Pályázatból szerzi be"),J17*M17,0)</f>
        <v>0</v>
      </c>
      <c r="AC17" s="138">
        <f>AB17*12</f>
        <v>0</v>
      </c>
      <c r="AD17" s="135">
        <f>AB17*36</f>
        <v>0</v>
      </c>
      <c r="AE17" s="208"/>
      <c r="AF17" s="303" t="s">
        <v>337</v>
      </c>
      <c r="AG17" s="355">
        <f>_xlfn.XLOOKUP(AF17,'Alternatív termékek'!A37:A41,'Alternatív termékek'!B37:B41,"HIBA")</f>
        <v>2800</v>
      </c>
      <c r="AH17" s="134">
        <f>IF(AND(E16,E17),AG17*M17,0)</f>
        <v>0</v>
      </c>
      <c r="AI17" s="138">
        <f>AH17*12</f>
        <v>0</v>
      </c>
      <c r="AJ17" s="135">
        <f>AH17*36</f>
        <v>0</v>
      </c>
      <c r="AL17" s="362" t="str">
        <f>IF(AND(E16,E17),AD17-AJ17,"Nem releváns")</f>
        <v>Nem releváns</v>
      </c>
      <c r="AM17" s="208"/>
    </row>
    <row r="18" spans="1:39" ht="48.75" customHeight="1" thickTop="1" thickBot="1">
      <c r="A18" s="208"/>
      <c r="B18" s="474" t="s">
        <v>32</v>
      </c>
      <c r="C18" s="476" t="s">
        <v>33</v>
      </c>
      <c r="D18" s="167" t="s">
        <v>81</v>
      </c>
      <c r="E18" s="164" t="b">
        <f t="shared" si="1"/>
        <v>0</v>
      </c>
      <c r="F18" s="142" t="s">
        <v>34</v>
      </c>
      <c r="G18" s="25"/>
      <c r="H18" s="12" t="s">
        <v>153</v>
      </c>
      <c r="I18" s="12" t="s">
        <v>35</v>
      </c>
      <c r="J18" s="13">
        <v>524300</v>
      </c>
      <c r="K18" s="14">
        <v>665861</v>
      </c>
      <c r="L18" s="10"/>
      <c r="M18" s="71" t="s">
        <v>83</v>
      </c>
      <c r="O18" s="427">
        <f>IF(Alapadatok!I30,1,0)</f>
        <v>0</v>
      </c>
      <c r="P18" s="427" t="str">
        <f>IF(AND(O18=1,OR(E18,E19,E20,E21)),"VAN","NINCS")</f>
        <v>NINCS</v>
      </c>
      <c r="Q18" s="427"/>
      <c r="R18" s="434" t="str">
        <f>IF(AND(OR(E18,E19,E20,E21),P18="NINCS"),1,"Nem adható pont")</f>
        <v>Nem adható pont</v>
      </c>
      <c r="S18" s="205" t="s">
        <v>196</v>
      </c>
      <c r="T18" s="61" t="str">
        <f>IF(D18="Pályázatból szerzi be",J18,"")</f>
        <v/>
      </c>
      <c r="V18" s="61" t="str">
        <f>IF(D18="Pályázatból szerzi be",K18,"")</f>
        <v/>
      </c>
      <c r="X18" s="532" t="s">
        <v>372</v>
      </c>
      <c r="Y18" s="538" t="s">
        <v>101</v>
      </c>
      <c r="AA18" s="424" t="s">
        <v>327</v>
      </c>
      <c r="AB18" s="425"/>
      <c r="AC18" s="425"/>
      <c r="AD18" s="426"/>
      <c r="AE18" s="208"/>
      <c r="AF18" s="424" t="s">
        <v>327</v>
      </c>
      <c r="AG18" s="425"/>
      <c r="AH18" s="425"/>
      <c r="AI18" s="425"/>
      <c r="AJ18" s="426"/>
      <c r="AL18" s="563" t="s">
        <v>81</v>
      </c>
      <c r="AM18" s="208"/>
    </row>
    <row r="19" spans="1:39" ht="47" customHeight="1" thickBot="1">
      <c r="A19" s="208"/>
      <c r="B19" s="475"/>
      <c r="C19" s="477"/>
      <c r="D19" s="168" t="s">
        <v>81</v>
      </c>
      <c r="E19" s="164" t="b">
        <f t="shared" si="1"/>
        <v>0</v>
      </c>
      <c r="F19" s="143" t="s">
        <v>36</v>
      </c>
      <c r="G19" s="120"/>
      <c r="H19" s="450" t="s">
        <v>155</v>
      </c>
      <c r="I19" s="3" t="s">
        <v>35</v>
      </c>
      <c r="J19" s="8">
        <v>257900</v>
      </c>
      <c r="K19" s="26">
        <v>327533</v>
      </c>
      <c r="L19" s="10"/>
      <c r="M19" s="72" t="s">
        <v>83</v>
      </c>
      <c r="O19" s="428"/>
      <c r="P19" s="428"/>
      <c r="Q19" s="428"/>
      <c r="R19" s="435"/>
      <c r="S19" s="205" t="s">
        <v>196</v>
      </c>
      <c r="T19" s="64" t="str">
        <f>IF(D19="Pályázatból szerzi be",J19,"")</f>
        <v/>
      </c>
      <c r="V19" s="64" t="str">
        <f>IF(D19="Pályázatból szerzi be",K19,"")</f>
        <v/>
      </c>
      <c r="X19" s="534"/>
      <c r="Y19" s="540"/>
      <c r="AA19" s="421" t="s">
        <v>327</v>
      </c>
      <c r="AB19" s="422"/>
      <c r="AC19" s="422"/>
      <c r="AD19" s="423"/>
      <c r="AE19" s="208"/>
      <c r="AF19" s="421"/>
      <c r="AG19" s="422"/>
      <c r="AH19" s="422"/>
      <c r="AI19" s="422"/>
      <c r="AJ19" s="423"/>
      <c r="AL19" s="574"/>
      <c r="AM19" s="208"/>
    </row>
    <row r="20" spans="1:39" ht="41.75" customHeight="1" thickBot="1">
      <c r="A20" s="208"/>
      <c r="B20" s="475"/>
      <c r="C20" s="477"/>
      <c r="D20" s="169" t="s">
        <v>81</v>
      </c>
      <c r="E20" s="164" t="b">
        <f t="shared" si="1"/>
        <v>0</v>
      </c>
      <c r="F20" s="143" t="s">
        <v>37</v>
      </c>
      <c r="G20" s="266"/>
      <c r="H20" s="444"/>
      <c r="I20" s="215" t="s">
        <v>19</v>
      </c>
      <c r="J20" s="216">
        <v>294300</v>
      </c>
      <c r="K20" s="217">
        <v>373761</v>
      </c>
      <c r="L20" s="10"/>
      <c r="M20" s="73">
        <v>1</v>
      </c>
      <c r="O20" s="428"/>
      <c r="P20" s="428"/>
      <c r="Q20" s="428"/>
      <c r="R20" s="435"/>
      <c r="S20" s="205" t="s">
        <v>196</v>
      </c>
      <c r="T20" s="64" t="str">
        <f>IF(D20="Pályázatból szerzi be",M20*J20,"")</f>
        <v/>
      </c>
      <c r="V20" s="64" t="str">
        <f>IF(D20="Pályázatból szerzi be",M20*K20,"")</f>
        <v/>
      </c>
      <c r="X20" s="534"/>
      <c r="Y20" s="540"/>
      <c r="AA20" s="418" t="s">
        <v>327</v>
      </c>
      <c r="AB20" s="419"/>
      <c r="AC20" s="419"/>
      <c r="AD20" s="420"/>
      <c r="AE20" s="208"/>
      <c r="AF20" s="418"/>
      <c r="AG20" s="419"/>
      <c r="AH20" s="419"/>
      <c r="AI20" s="419"/>
      <c r="AJ20" s="420"/>
      <c r="AL20" s="564"/>
      <c r="AM20" s="208"/>
    </row>
    <row r="21" spans="1:39" ht="43.5" customHeight="1" thickBot="1">
      <c r="A21" s="208"/>
      <c r="B21" s="478"/>
      <c r="C21" s="479"/>
      <c r="D21" s="166" t="s">
        <v>81</v>
      </c>
      <c r="E21" s="164" t="b">
        <f t="shared" si="1"/>
        <v>0</v>
      </c>
      <c r="F21" s="121" t="s">
        <v>38</v>
      </c>
      <c r="G21" s="121" t="s">
        <v>186</v>
      </c>
      <c r="H21" s="451"/>
      <c r="I21" s="16" t="s">
        <v>8</v>
      </c>
      <c r="J21" s="17">
        <v>5200</v>
      </c>
      <c r="K21" s="18">
        <v>6604</v>
      </c>
      <c r="L21" s="10"/>
      <c r="M21" s="68">
        <v>1</v>
      </c>
      <c r="O21" s="429"/>
      <c r="P21" s="429"/>
      <c r="Q21" s="429"/>
      <c r="R21" s="436"/>
      <c r="S21" s="205" t="s">
        <v>196</v>
      </c>
      <c r="T21" s="62" t="str">
        <f>IF(D21="Pályázatból szerzi be",M21*J21*Alapadatok!H16,"")</f>
        <v/>
      </c>
      <c r="V21" s="62" t="str">
        <f>IF($D21="Pályázatból szerzi be",$M21*Alapadatok!$H$16*K21,"")</f>
        <v/>
      </c>
      <c r="X21" s="535"/>
      <c r="Y21" s="541"/>
      <c r="AA21" s="147">
        <f>IF(AND(E21,E22,D21="Pályázatból szerzi be"),J21,0)</f>
        <v>0</v>
      </c>
      <c r="AB21" s="134">
        <f>AA21*M21</f>
        <v>0</v>
      </c>
      <c r="AC21" s="138">
        <f>AB21*12</f>
        <v>0</v>
      </c>
      <c r="AD21" s="135">
        <f>AB21*36</f>
        <v>0</v>
      </c>
      <c r="AE21" s="208"/>
      <c r="AF21" s="303" t="s">
        <v>343</v>
      </c>
      <c r="AG21" s="356">
        <f>_xlfn.XLOOKUP(AF21,'Alternatív termékek'!A42:A46,'Alternatív termékek'!B42:B46,"HIBA")</f>
        <v>6000</v>
      </c>
      <c r="AH21" s="299">
        <f>IF(AND(E21,D21="Pályázatból szerzi be"),AG21*M21,0)</f>
        <v>0</v>
      </c>
      <c r="AI21" s="138">
        <f>AH21*12</f>
        <v>0</v>
      </c>
      <c r="AJ21" s="135">
        <f>AH21*36</f>
        <v>0</v>
      </c>
      <c r="AL21" s="362">
        <f>AD21-AJ21</f>
        <v>0</v>
      </c>
      <c r="AM21" s="208"/>
    </row>
    <row r="22" spans="1:39" ht="42.5" customHeight="1" thickTop="1" thickBot="1">
      <c r="A22" s="208"/>
      <c r="B22" s="480" t="s">
        <v>39</v>
      </c>
      <c r="C22" s="476" t="s">
        <v>40</v>
      </c>
      <c r="D22" s="167" t="s">
        <v>80</v>
      </c>
      <c r="E22" s="164" t="b">
        <f t="shared" si="1"/>
        <v>1</v>
      </c>
      <c r="F22" s="142" t="s">
        <v>41</v>
      </c>
      <c r="G22" s="119" t="s">
        <v>187</v>
      </c>
      <c r="H22" s="443" t="str">
        <f>IF(AND(D22="Nem releváns",D23="Nem releváns",D24="Nem releváns",D25="Nem releváns"),
   "Nem választott fejlesztési cél",
   IF(AND(E22,E23,E24,E25),
      CONCATENATE('Egyéb költségek'!A7,CHAR(10),"TELJESÜL"),
      CONCATENATE('Egyéb költségek'!A7,CHAR(10),"NEM TELJESÜL")
   )
)</f>
        <v>A fejlesztési célon belül MINDEN összetevő teljesítése 
KÖTELEZŐ. 
TELJESÜL</v>
      </c>
      <c r="I22" s="12" t="s">
        <v>35</v>
      </c>
      <c r="J22" s="13">
        <v>345100</v>
      </c>
      <c r="K22" s="14">
        <v>438277</v>
      </c>
      <c r="L22" s="10"/>
      <c r="M22" s="71" t="s">
        <v>83</v>
      </c>
      <c r="O22" s="427">
        <f>IF(Alapadatok!I31,1,0)</f>
        <v>0</v>
      </c>
      <c r="P22" s="427" t="str">
        <f>IF(AND(O22=1,OR(E22,E23,E24,E25)),"VAN","NINCS")</f>
        <v>NINCS</v>
      </c>
      <c r="Q22" s="427"/>
      <c r="R22" s="437">
        <f>IF(AND(E22,E23,E24,E25,P22="NINCS"),1,"Nem adható pont")</f>
        <v>1</v>
      </c>
      <c r="S22" s="205" t="s">
        <v>195</v>
      </c>
      <c r="T22" s="61">
        <f>IF(D22="Pályázatból szerzi be",J22,"")</f>
        <v>345100</v>
      </c>
      <c r="V22" s="61">
        <f>IF(D22="Pályázatból szerzi be",K22,"")</f>
        <v>438277</v>
      </c>
      <c r="X22" s="527" t="s">
        <v>373</v>
      </c>
      <c r="Y22" s="80" t="s">
        <v>104</v>
      </c>
      <c r="AA22" s="524" t="s">
        <v>329</v>
      </c>
      <c r="AB22" s="525"/>
      <c r="AC22" s="525"/>
      <c r="AD22" s="526"/>
      <c r="AE22" s="208"/>
      <c r="AF22" s="524" t="s">
        <v>329</v>
      </c>
      <c r="AG22" s="525"/>
      <c r="AH22" s="525"/>
      <c r="AI22" s="525"/>
      <c r="AJ22" s="526"/>
      <c r="AL22" s="360" t="s">
        <v>81</v>
      </c>
      <c r="AM22" s="208"/>
    </row>
    <row r="23" spans="1:39" ht="32.75" customHeight="1" thickBot="1">
      <c r="A23" s="208"/>
      <c r="B23" s="481"/>
      <c r="C23" s="477"/>
      <c r="D23" s="168" t="s">
        <v>80</v>
      </c>
      <c r="E23" s="164" t="b">
        <f t="shared" si="1"/>
        <v>1</v>
      </c>
      <c r="F23" s="144" t="s">
        <v>42</v>
      </c>
      <c r="G23" s="124"/>
      <c r="H23" s="444"/>
      <c r="I23" s="3" t="s">
        <v>10</v>
      </c>
      <c r="J23" s="8">
        <v>10100</v>
      </c>
      <c r="K23" s="26">
        <v>12827</v>
      </c>
      <c r="L23" s="10"/>
      <c r="M23" s="72" t="s">
        <v>83</v>
      </c>
      <c r="O23" s="428"/>
      <c r="P23" s="428"/>
      <c r="Q23" s="428"/>
      <c r="R23" s="438"/>
      <c r="S23" s="205" t="s">
        <v>195</v>
      </c>
      <c r="T23" s="64">
        <f>IF(D23="Pályázatból szerzi be",J23*Alapadatok!$H$16,"")</f>
        <v>121200</v>
      </c>
      <c r="V23" s="64">
        <f>IF($D23="Pályázatból szerzi be",Alapadatok!$H$16*K23,"")</f>
        <v>153924</v>
      </c>
      <c r="X23" s="528"/>
      <c r="Y23" s="530" t="s">
        <v>332</v>
      </c>
      <c r="AA23" s="291"/>
      <c r="AB23" s="131">
        <f>IF(AND(E22,E23,E24,E25,D23="Pályázatból szerzi be"),J23,0)</f>
        <v>10100</v>
      </c>
      <c r="AC23" s="285">
        <f>AB23*12</f>
        <v>121200</v>
      </c>
      <c r="AD23" s="132">
        <f>AB23*36</f>
        <v>363600</v>
      </c>
      <c r="AE23" s="208"/>
      <c r="AF23" s="291"/>
      <c r="AG23" s="291"/>
      <c r="AH23" s="131">
        <f>IF(AND(E22,E23,E24,E25,D23="Pályázatból szerzi be"),3000,0)</f>
        <v>3000</v>
      </c>
      <c r="AI23" s="285">
        <f>AH23*12</f>
        <v>36000</v>
      </c>
      <c r="AJ23" s="132">
        <f>AH23*36</f>
        <v>108000</v>
      </c>
      <c r="AL23" s="379">
        <f>AD23-AJ23</f>
        <v>255600</v>
      </c>
      <c r="AM23" s="208"/>
    </row>
    <row r="24" spans="1:39" ht="32.75" customHeight="1" thickBot="1">
      <c r="A24" s="208"/>
      <c r="B24" s="481"/>
      <c r="C24" s="483"/>
      <c r="D24" s="170" t="s">
        <v>80</v>
      </c>
      <c r="E24" s="164" t="b">
        <f t="shared" si="1"/>
        <v>1</v>
      </c>
      <c r="F24" s="144" t="s">
        <v>43</v>
      </c>
      <c r="G24" s="124"/>
      <c r="H24" s="444"/>
      <c r="I24" s="3" t="s">
        <v>10</v>
      </c>
      <c r="J24" s="8">
        <v>1900</v>
      </c>
      <c r="K24" s="26">
        <v>2413</v>
      </c>
      <c r="L24" s="10"/>
      <c r="M24" s="72" t="s">
        <v>83</v>
      </c>
      <c r="O24" s="428"/>
      <c r="P24" s="428"/>
      <c r="Q24" s="428"/>
      <c r="R24" s="438"/>
      <c r="S24" s="205" t="s">
        <v>195</v>
      </c>
      <c r="T24" s="64">
        <f>IF(D24="Pályázatból szerzi be",J24*Alapadatok!$H$16,"")</f>
        <v>22800</v>
      </c>
      <c r="V24" s="64">
        <f>IF($D24="Pályázatból szerzi be",Alapadatok!$H$16*K24,"")</f>
        <v>28956</v>
      </c>
      <c r="X24" s="528"/>
      <c r="Y24" s="530"/>
      <c r="AA24" s="291"/>
      <c r="AB24" s="131">
        <f>IF(AND(E22,E23,E24,E25,D24="Pályázatból szerzi be"),J24,0)</f>
        <v>1900</v>
      </c>
      <c r="AC24" s="285">
        <f>AB24*12</f>
        <v>22800</v>
      </c>
      <c r="AD24" s="132">
        <f>AB24*36</f>
        <v>68400</v>
      </c>
      <c r="AE24" s="208"/>
      <c r="AF24" s="291"/>
      <c r="AG24" s="291"/>
      <c r="AH24" s="131">
        <f>IF(AND(E22,E23,E24,E25,D24="Pályázatból szerzi be"),1000,0)</f>
        <v>1000</v>
      </c>
      <c r="AI24" s="285">
        <f>AH24*12</f>
        <v>12000</v>
      </c>
      <c r="AJ24" s="132">
        <f>AH24*36</f>
        <v>36000</v>
      </c>
      <c r="AL24" s="379">
        <f>AD24-AJ24</f>
        <v>32400</v>
      </c>
      <c r="AM24" s="208"/>
    </row>
    <row r="25" spans="1:39" ht="33" customHeight="1" thickBot="1">
      <c r="A25" s="208"/>
      <c r="B25" s="482"/>
      <c r="C25" s="479"/>
      <c r="D25" s="166" t="s">
        <v>80</v>
      </c>
      <c r="E25" s="164" t="b">
        <f t="shared" si="1"/>
        <v>1</v>
      </c>
      <c r="F25" s="125" t="s">
        <v>44</v>
      </c>
      <c r="G25" s="125"/>
      <c r="H25" s="451"/>
      <c r="I25" s="16" t="s">
        <v>10</v>
      </c>
      <c r="J25" s="17">
        <v>600</v>
      </c>
      <c r="K25" s="18">
        <v>762</v>
      </c>
      <c r="L25" s="10"/>
      <c r="M25" s="67" t="s">
        <v>83</v>
      </c>
      <c r="O25" s="429"/>
      <c r="P25" s="429"/>
      <c r="Q25" s="429"/>
      <c r="R25" s="439"/>
      <c r="S25" s="205" t="s">
        <v>195</v>
      </c>
      <c r="T25" s="62">
        <f>IF(D25="Pályázatból szerzi be",J25*Alapadatok!$H$16,"")</f>
        <v>7200</v>
      </c>
      <c r="V25" s="62">
        <f>IF($D25="Pályázatból szerzi be",Alapadatok!$H$16*K25,"")</f>
        <v>9144</v>
      </c>
      <c r="X25" s="529"/>
      <c r="Y25" s="531"/>
      <c r="AA25" s="292"/>
      <c r="AB25" s="134">
        <f>IF(AND(E22,E23,E24,E25,D25="Pályázatból szerzi be"),J25,0)</f>
        <v>600</v>
      </c>
      <c r="AC25" s="138">
        <f>AB25*12</f>
        <v>7200</v>
      </c>
      <c r="AD25" s="135">
        <f>AB25*36</f>
        <v>21600</v>
      </c>
      <c r="AE25" s="208"/>
      <c r="AF25" s="292"/>
      <c r="AG25" s="292"/>
      <c r="AH25" s="134">
        <f>IF(AND(E22,E23,E24,E25,D25="Pályázatból szerzi be"),300,0)</f>
        <v>300</v>
      </c>
      <c r="AI25" s="138">
        <f>AH25*12</f>
        <v>3600</v>
      </c>
      <c r="AJ25" s="135">
        <f>AH25*36</f>
        <v>10800</v>
      </c>
      <c r="AL25" s="362">
        <f>AD25-AJ25</f>
        <v>10800</v>
      </c>
      <c r="AM25" s="208"/>
    </row>
    <row r="26" spans="1:39" ht="44.25" customHeight="1" thickTop="1" thickBot="1">
      <c r="A26" s="208"/>
      <c r="B26" s="185" t="s">
        <v>45</v>
      </c>
      <c r="C26" s="29" t="s">
        <v>46</v>
      </c>
      <c r="D26" s="123" t="s">
        <v>81</v>
      </c>
      <c r="E26" s="164" t="b">
        <f t="shared" si="1"/>
        <v>0</v>
      </c>
      <c r="F26" s="119" t="s">
        <v>47</v>
      </c>
      <c r="G26" s="29" t="s">
        <v>188</v>
      </c>
      <c r="H26" s="30" t="s">
        <v>156</v>
      </c>
      <c r="I26" s="30" t="s">
        <v>10</v>
      </c>
      <c r="J26" s="31">
        <v>74900</v>
      </c>
      <c r="K26" s="32">
        <v>95123</v>
      </c>
      <c r="L26" s="10"/>
      <c r="M26" s="74" t="s">
        <v>83</v>
      </c>
      <c r="O26" s="253">
        <f>IF(Alapadatok!I32,1,0)</f>
        <v>0</v>
      </c>
      <c r="P26" s="253" t="str">
        <f>IF(AND(O26=1,E26),"VAN","NINCS")</f>
        <v>NINCS</v>
      </c>
      <c r="Q26" s="253" t="str">
        <f>IF(AND(E26,E27),"VAN","NINCS")</f>
        <v>NINCS</v>
      </c>
      <c r="R26" s="263" t="str">
        <f>IF(AND(E26,P22="NINCS"),1,"Nem adható pont")</f>
        <v>Nem adható pont</v>
      </c>
      <c r="S26" s="205" t="s">
        <v>195</v>
      </c>
      <c r="T26" s="63" t="str">
        <f>IF(D26="Pályázatból szerzi be",J26*Alapadatok!$H$16,"")</f>
        <v/>
      </c>
      <c r="V26" s="63" t="str">
        <f>IF($D26="Pályázatból szerzi be",Alapadatok!$H$16*K26,"")</f>
        <v/>
      </c>
      <c r="X26" s="78" t="s">
        <v>367</v>
      </c>
      <c r="Y26" s="79" t="s">
        <v>105</v>
      </c>
      <c r="AA26" s="290"/>
      <c r="AB26" s="129">
        <f>IF(AND(E26,D26="Pályázatból szerzi be"),J26,0)</f>
        <v>0</v>
      </c>
      <c r="AC26" s="285">
        <f>AB26*12</f>
        <v>0</v>
      </c>
      <c r="AD26" s="132">
        <f>AB26*36</f>
        <v>0</v>
      </c>
      <c r="AE26" s="208"/>
      <c r="AF26" s="290"/>
      <c r="AG26" s="290"/>
      <c r="AH26" s="380">
        <v>50000</v>
      </c>
      <c r="AI26" s="300">
        <f>IF(AND(E26,D26="Pályázatból szerzi be"),AH2612,0)</f>
        <v>0</v>
      </c>
      <c r="AJ26" s="298">
        <f>AI26*3</f>
        <v>0</v>
      </c>
      <c r="AL26" s="381" t="str">
        <f>IF(AND(E26,D26="Pályázatból szerzi be"),AD26-AJ26,"Nem releváns")</f>
        <v>Nem releváns</v>
      </c>
      <c r="AM26" s="208"/>
    </row>
    <row r="27" spans="1:39" ht="37.5" customHeight="1" thickTop="1">
      <c r="A27" s="208"/>
      <c r="B27" s="474" t="s">
        <v>48</v>
      </c>
      <c r="C27" s="476" t="s">
        <v>49</v>
      </c>
      <c r="D27" s="165" t="s">
        <v>80</v>
      </c>
      <c r="E27" s="164" t="b">
        <f t="shared" si="1"/>
        <v>1</v>
      </c>
      <c r="F27" s="119" t="s">
        <v>50</v>
      </c>
      <c r="G27" s="29"/>
      <c r="H27" s="30" t="s">
        <v>156</v>
      </c>
      <c r="I27" s="30" t="s">
        <v>10</v>
      </c>
      <c r="J27" s="31">
        <v>96300</v>
      </c>
      <c r="K27" s="32">
        <v>122301</v>
      </c>
      <c r="L27" s="10"/>
      <c r="M27" s="250" t="s">
        <v>83</v>
      </c>
      <c r="O27" s="427">
        <f>IF(Alapadatok!I33,1,0)</f>
        <v>0</v>
      </c>
      <c r="P27" s="427" t="str">
        <f>IF(AND(O27=1,E27),"VAN","NINCS")</f>
        <v>NINCS</v>
      </c>
      <c r="Q27" s="427" t="str">
        <f>IF(AND(E26,E27),"VAN","NINCS")</f>
        <v>NINCS</v>
      </c>
      <c r="R27" s="434">
        <f>IF(AND(E27,P27="NINCS"),1,"Nem adható pont")</f>
        <v>1</v>
      </c>
      <c r="S27" s="205" t="s">
        <v>195</v>
      </c>
      <c r="T27" s="61">
        <f>IF(D27="Pályázatból szerzi be",J27*Alapadatok!$H$16,"")</f>
        <v>1155600</v>
      </c>
      <c r="V27" s="61">
        <f>IF($D27="Pályázatból szerzi be",Alapadatok!$H$16*K27,"")</f>
        <v>1467612</v>
      </c>
      <c r="X27" s="532" t="s">
        <v>374</v>
      </c>
      <c r="Y27" s="75" t="s">
        <v>117</v>
      </c>
      <c r="AA27" s="345">
        <f>IF(AND(E27,D27="Pályázatból szerzi be"),J27,0)</f>
        <v>96300</v>
      </c>
      <c r="AB27" s="129">
        <f>IF(AND(E27,D27="Pályázatból szerzi be"),J27,0)</f>
        <v>96300</v>
      </c>
      <c r="AC27" s="137">
        <f>AB27*12</f>
        <v>1155600</v>
      </c>
      <c r="AD27" s="130">
        <f>AB27*36</f>
        <v>3466800</v>
      </c>
      <c r="AE27" s="208"/>
      <c r="AF27" s="382" t="s">
        <v>326</v>
      </c>
      <c r="AG27" s="129">
        <v>60000</v>
      </c>
      <c r="AH27" s="129">
        <f>IF(AND(E27,E28,D27="Pályázatból szerzi be"),AG27,0)</f>
        <v>60000</v>
      </c>
      <c r="AI27" s="137">
        <f>AH27*12</f>
        <v>720000</v>
      </c>
      <c r="AJ27" s="130">
        <f>AI27*3</f>
        <v>2160000</v>
      </c>
      <c r="AL27" s="379">
        <f>IF(AND(E27,D27="Pályázatból szerzi be"),AD27-AJ27,"Nem releváns")</f>
        <v>1306800</v>
      </c>
      <c r="AM27" s="208"/>
    </row>
    <row r="28" spans="1:39" ht="33.75" customHeight="1" thickBot="1">
      <c r="A28" s="208"/>
      <c r="B28" s="478"/>
      <c r="C28" s="479"/>
      <c r="D28" s="166" t="s">
        <v>80</v>
      </c>
      <c r="E28" s="164" t="b">
        <f t="shared" si="1"/>
        <v>1</v>
      </c>
      <c r="F28" s="121" t="s">
        <v>377</v>
      </c>
      <c r="G28" s="27"/>
      <c r="H28" s="16" t="s">
        <v>281</v>
      </c>
      <c r="I28" s="16" t="s">
        <v>19</v>
      </c>
      <c r="J28" s="17">
        <v>374500</v>
      </c>
      <c r="K28" s="18">
        <v>475615</v>
      </c>
      <c r="L28" s="10"/>
      <c r="M28" s="243">
        <v>1</v>
      </c>
      <c r="O28" s="429"/>
      <c r="P28" s="429"/>
      <c r="Q28" s="429"/>
      <c r="R28" s="436"/>
      <c r="S28" s="205" t="s">
        <v>197</v>
      </c>
      <c r="T28" s="62">
        <f>IF(D28="Pályázatból szerzi be",J28,"")</f>
        <v>374500</v>
      </c>
      <c r="V28" s="62">
        <f>IF(D28="Pályázatból szerzi be",K28,"")</f>
        <v>475615</v>
      </c>
      <c r="X28" s="533"/>
      <c r="Y28" s="82" t="s">
        <v>118</v>
      </c>
      <c r="AA28" s="421" t="s">
        <v>327</v>
      </c>
      <c r="AB28" s="422"/>
      <c r="AC28" s="422"/>
      <c r="AD28" s="423"/>
      <c r="AE28" s="208"/>
      <c r="AF28" s="418" t="s">
        <v>379</v>
      </c>
      <c r="AG28" s="419"/>
      <c r="AH28" s="419"/>
      <c r="AI28" s="419"/>
      <c r="AJ28" s="420"/>
      <c r="AL28" s="359" t="s">
        <v>81</v>
      </c>
      <c r="AM28" s="208"/>
    </row>
    <row r="29" spans="1:39" ht="33" customHeight="1" thickTop="1" thickBot="1">
      <c r="A29" s="208"/>
      <c r="B29" s="474" t="s">
        <v>52</v>
      </c>
      <c r="C29" s="476" t="s">
        <v>53</v>
      </c>
      <c r="D29" s="388" t="s">
        <v>80</v>
      </c>
      <c r="E29" s="389" t="b">
        <f t="shared" si="1"/>
        <v>1</v>
      </c>
      <c r="F29" s="390" t="s">
        <v>54</v>
      </c>
      <c r="G29" s="391"/>
      <c r="H29" s="447" t="str">
        <f>IF(AND(D29="Nem releváns",D30="Nem releváns",D31="Nem releváns"),
   "Nem választott fejlesztési cél",
   IF(AND(E29,E30,E31),
      CONCATENATE('Egyéb költségek'!A7,CHAR(10),"TELJESÜL"),
      CONCATENATE('Egyéb költségek'!A7,CHAR(10),"NEM TELJESÜL")
   )
)</f>
        <v>A fejlesztési célon belül MINDEN összetevő teljesítése 
KÖTELEZŐ. 
TELJESÜL</v>
      </c>
      <c r="I29" s="392" t="s">
        <v>10</v>
      </c>
      <c r="J29" s="393">
        <v>21800</v>
      </c>
      <c r="K29" s="394">
        <v>27686</v>
      </c>
      <c r="L29" s="10"/>
      <c r="M29" s="71" t="s">
        <v>83</v>
      </c>
      <c r="O29" s="427">
        <f>IF(Alapadatok!I34,1,0)</f>
        <v>0</v>
      </c>
      <c r="P29" s="427" t="str">
        <f>IF(AND(O29=1,E29),"VAN","NINCS")</f>
        <v>NINCS</v>
      </c>
      <c r="Q29" s="427"/>
      <c r="R29" s="440"/>
      <c r="S29" s="205" t="s">
        <v>195</v>
      </c>
      <c r="T29" s="61">
        <f>IF(D29="Pályázatból szerzi be",J29*Alapadatok!$H$16,"")</f>
        <v>261600</v>
      </c>
      <c r="V29" s="61">
        <f>IF($D29="Pályázatból szerzi be",Alapadatok!$H$16*K29,"")</f>
        <v>332232</v>
      </c>
      <c r="X29" s="532" t="s">
        <v>371</v>
      </c>
      <c r="Y29" s="536" t="s">
        <v>106</v>
      </c>
      <c r="AA29" s="347"/>
      <c r="AB29" s="129">
        <f>IF(AND(E29,E30,E31,D29="Pályázatból szerzi be"),J29,0)</f>
        <v>21800</v>
      </c>
      <c r="AC29" s="137">
        <f>AB29*12</f>
        <v>261600</v>
      </c>
      <c r="AD29" s="130">
        <f>AB29*36</f>
        <v>784800</v>
      </c>
      <c r="AE29" s="208"/>
      <c r="AF29" s="424" t="s">
        <v>381</v>
      </c>
      <c r="AG29" s="425"/>
      <c r="AH29" s="425"/>
      <c r="AI29" s="425"/>
      <c r="AJ29" s="426"/>
      <c r="AL29" s="379">
        <f>IF(AND(E29,D29="Pályázatból szerzi be"),AD29-AJ29,"Nem releváns")</f>
        <v>784800</v>
      </c>
      <c r="AM29" s="208"/>
    </row>
    <row r="30" spans="1:39" ht="33" customHeight="1" thickBot="1">
      <c r="A30" s="208"/>
      <c r="B30" s="475"/>
      <c r="C30" s="477"/>
      <c r="D30" s="395" t="s">
        <v>80</v>
      </c>
      <c r="E30" s="389" t="b">
        <f t="shared" si="1"/>
        <v>1</v>
      </c>
      <c r="F30" s="396" t="s">
        <v>55</v>
      </c>
      <c r="G30" s="397"/>
      <c r="H30" s="448"/>
      <c r="I30" s="398" t="s">
        <v>10</v>
      </c>
      <c r="J30" s="399">
        <v>109100</v>
      </c>
      <c r="K30" s="400">
        <v>138557</v>
      </c>
      <c r="L30" s="10"/>
      <c r="M30" s="72" t="s">
        <v>83</v>
      </c>
      <c r="O30" s="428"/>
      <c r="P30" s="428"/>
      <c r="Q30" s="428"/>
      <c r="R30" s="441"/>
      <c r="S30" s="205" t="s">
        <v>195</v>
      </c>
      <c r="T30" s="64">
        <f>IF(D30="Pályázatból szerzi be",J30*Alapadatok!$H$16,"")</f>
        <v>1309200</v>
      </c>
      <c r="V30" s="64">
        <f>IF($D30="Pályázatból szerzi be",Alapadatok!$H$16*K30,"")</f>
        <v>1662684</v>
      </c>
      <c r="X30" s="534"/>
      <c r="Y30" s="537"/>
      <c r="AA30" s="348"/>
      <c r="AB30" s="349">
        <f>IF(AND(E30,E31,E29,D30="Pályázatból szerzi be"),J30,0)</f>
        <v>109100</v>
      </c>
      <c r="AC30" s="138">
        <f>AB30*12</f>
        <v>1309200</v>
      </c>
      <c r="AD30" s="135">
        <f>AB30*36</f>
        <v>3927600</v>
      </c>
      <c r="AE30" s="208"/>
      <c r="AF30" s="418"/>
      <c r="AG30" s="419"/>
      <c r="AH30" s="419"/>
      <c r="AI30" s="419"/>
      <c r="AJ30" s="420"/>
      <c r="AL30" s="379">
        <f>IF(AND(E30,D30="Pályázatból szerzi be"),AD30-AJ30,"Nem releváns")</f>
        <v>3927600</v>
      </c>
      <c r="AM30" s="208"/>
    </row>
    <row r="31" spans="1:39" ht="41" customHeight="1" thickBot="1">
      <c r="A31" s="208"/>
      <c r="B31" s="475"/>
      <c r="C31" s="477"/>
      <c r="D31" s="395" t="s">
        <v>80</v>
      </c>
      <c r="E31" s="389" t="b">
        <f t="shared" si="1"/>
        <v>1</v>
      </c>
      <c r="F31" s="396" t="s">
        <v>56</v>
      </c>
      <c r="G31" s="396"/>
      <c r="H31" s="449"/>
      <c r="I31" s="398" t="s">
        <v>35</v>
      </c>
      <c r="J31" s="399">
        <v>1379800</v>
      </c>
      <c r="K31" s="400">
        <v>1752346</v>
      </c>
      <c r="L31" s="10"/>
      <c r="M31" s="72" t="s">
        <v>83</v>
      </c>
      <c r="O31" s="428"/>
      <c r="P31" s="428"/>
      <c r="Q31" s="428"/>
      <c r="R31" s="442"/>
      <c r="S31" s="205" t="s">
        <v>196</v>
      </c>
      <c r="T31" s="64">
        <f>IF(D31="Pályázatból szerzi be",J31,"")</f>
        <v>1379800</v>
      </c>
      <c r="V31" s="64">
        <f>IF(D31="Pályázatból szerzi be",K31,"")</f>
        <v>1752346</v>
      </c>
      <c r="X31" s="534"/>
      <c r="Y31" s="81" t="s">
        <v>119</v>
      </c>
      <c r="AA31" s="421" t="s">
        <v>327</v>
      </c>
      <c r="AB31" s="422"/>
      <c r="AC31" s="422"/>
      <c r="AD31" s="423"/>
      <c r="AE31" s="208"/>
      <c r="AF31" s="418" t="s">
        <v>331</v>
      </c>
      <c r="AG31" s="419"/>
      <c r="AH31" s="419"/>
      <c r="AI31" s="419"/>
      <c r="AJ31" s="420"/>
      <c r="AL31" s="363" t="s">
        <v>81</v>
      </c>
      <c r="AM31" s="208"/>
    </row>
    <row r="32" spans="1:39" ht="33" customHeight="1" thickBot="1">
      <c r="A32" s="208"/>
      <c r="B32" s="475"/>
      <c r="C32" s="477"/>
      <c r="D32" s="169" t="s">
        <v>80</v>
      </c>
      <c r="E32" s="164" t="b">
        <f t="shared" si="1"/>
        <v>1</v>
      </c>
      <c r="F32" s="120" t="s">
        <v>57</v>
      </c>
      <c r="G32" s="27" t="s">
        <v>189</v>
      </c>
      <c r="H32" s="2" t="s">
        <v>281</v>
      </c>
      <c r="I32" s="2" t="s">
        <v>8</v>
      </c>
      <c r="J32" s="28">
        <v>14400</v>
      </c>
      <c r="K32" s="33">
        <v>18288</v>
      </c>
      <c r="L32" s="10"/>
      <c r="M32" s="68">
        <v>1</v>
      </c>
      <c r="O32" s="429"/>
      <c r="P32" s="429"/>
      <c r="Q32" s="429"/>
      <c r="R32" s="254">
        <v>1</v>
      </c>
      <c r="S32" s="205" t="s">
        <v>195</v>
      </c>
      <c r="T32" s="62">
        <f>IF(D32="Pályázatból szerzi be",J32*Alapadatok!$H$16*M32,"")</f>
        <v>172800</v>
      </c>
      <c r="V32" s="62">
        <f>IF($D32="Pályázatból szerzi be",$M32*Alapadatok!$H$16*K32,"")</f>
        <v>219456</v>
      </c>
      <c r="X32" s="535"/>
      <c r="Y32" s="83" t="s">
        <v>120</v>
      </c>
      <c r="AA32" s="296">
        <f>IF(AND(E32,D32="Pályázatból szerzi be"),J32,0)</f>
        <v>14400</v>
      </c>
      <c r="AB32" s="129">
        <f>AA32*M32</f>
        <v>14400</v>
      </c>
      <c r="AC32" s="137">
        <f>AB32*12</f>
        <v>172800</v>
      </c>
      <c r="AD32" s="298">
        <f>AB32*36</f>
        <v>518400</v>
      </c>
      <c r="AE32" s="208"/>
      <c r="AF32" s="303" t="s">
        <v>346</v>
      </c>
      <c r="AG32" s="356">
        <f>_xlfn.XLOOKUP(AF32,'Alternatív termékek'!A47:A57,'Alternatív termékek'!B47:B57,"HIBA")</f>
        <v>7890</v>
      </c>
      <c r="AH32" s="129">
        <f>IF(AND(E32,D32="Pályázatból szerzi be"),AG32*M32,0)</f>
        <v>7890</v>
      </c>
      <c r="AI32" s="137">
        <f>AH32*12</f>
        <v>94680</v>
      </c>
      <c r="AJ32" s="130">
        <f>AI32*3</f>
        <v>284040</v>
      </c>
      <c r="AL32" s="362">
        <f>AD32-AJ32</f>
        <v>234360</v>
      </c>
      <c r="AM32" s="208"/>
    </row>
    <row r="33" spans="1:39" ht="37.5" customHeight="1" thickTop="1" thickBot="1">
      <c r="A33" s="208"/>
      <c r="B33" s="490" t="s">
        <v>58</v>
      </c>
      <c r="C33" s="470" t="s">
        <v>59</v>
      </c>
      <c r="D33" s="171" t="s">
        <v>81</v>
      </c>
      <c r="E33" s="164" t="b">
        <f t="shared" si="1"/>
        <v>0</v>
      </c>
      <c r="F33" s="365" t="s">
        <v>60</v>
      </c>
      <c r="G33" s="366"/>
      <c r="H33" s="468" t="str">
        <f>IF(AND(D33="Nem releváns",D34="Nem releváns"),
   "Nem választott fejlesztési cél",
   IF(AND(E33,E34),
      CONCATENATE('Egyéb költségek'!A7,CHAR(10),"TELJESÜL"),
      CONCATENATE('Egyéb költségek'!A7,CHAR(10),"NEM TELJESÜL")
   )
)</f>
        <v>Nem választott fejlesztési cél</v>
      </c>
      <c r="I33" s="367" t="s">
        <v>8</v>
      </c>
      <c r="J33" s="368">
        <v>24800</v>
      </c>
      <c r="K33" s="369">
        <v>31496</v>
      </c>
      <c r="L33" s="10"/>
      <c r="M33" s="65">
        <v>1</v>
      </c>
      <c r="O33" s="430">
        <f>IF(Alapadatok!I36,1,0)</f>
        <v>0</v>
      </c>
      <c r="P33" s="430" t="str">
        <f>IF(AND(O33=1,E33,E34),"VAN","NINCS")</f>
        <v>NINCS</v>
      </c>
      <c r="Q33" s="427"/>
      <c r="R33" s="434" t="str">
        <f>IF(AND(E33,E34,P33="NINCS"),1,"Nem adható pont")</f>
        <v>Nem adható pont</v>
      </c>
      <c r="S33" s="205" t="s">
        <v>195</v>
      </c>
      <c r="T33" s="61" t="str">
        <f>IF(D33="Pályázatból szerzi be",J33*Alapadatok!$H$16*M33,"")</f>
        <v/>
      </c>
      <c r="V33" s="61" t="str">
        <f>IF($D33="Pályázatból szerzi be",$M33*Alapadatok!$H$16*K33,"")</f>
        <v/>
      </c>
      <c r="X33" s="532" t="s">
        <v>371</v>
      </c>
      <c r="Y33" s="538" t="s">
        <v>121</v>
      </c>
      <c r="AA33" s="296">
        <f>IF(AND(E33,D33="Pályázatból szerzi be"),J33,0)</f>
        <v>0</v>
      </c>
      <c r="AB33" s="129">
        <f>AA33*M33</f>
        <v>0</v>
      </c>
      <c r="AC33" s="137">
        <f>AB33*12</f>
        <v>0</v>
      </c>
      <c r="AD33" s="130">
        <f>AB33*36</f>
        <v>0</v>
      </c>
      <c r="AE33" s="208"/>
      <c r="AF33" s="136"/>
      <c r="AG33" s="383">
        <f>IF(AND(E33,D33="Pályázatból szerzi be"),J33,0)</f>
        <v>0</v>
      </c>
      <c r="AH33" s="129">
        <f>AG33*M33</f>
        <v>0</v>
      </c>
      <c r="AI33" s="137">
        <f>AH33*12</f>
        <v>0</v>
      </c>
      <c r="AJ33" s="130">
        <f>AH33*36</f>
        <v>0</v>
      </c>
      <c r="AL33" s="379" t="str">
        <f>IF(AND(E33,D33="Pályázatból szerzi be"),AD33-AJ33,"Nem releváns")</f>
        <v>Nem releváns</v>
      </c>
      <c r="AM33" s="208"/>
    </row>
    <row r="34" spans="1:39" ht="43" thickBot="1">
      <c r="A34" s="208"/>
      <c r="B34" s="491"/>
      <c r="C34" s="471"/>
      <c r="D34" s="172" t="s">
        <v>81</v>
      </c>
      <c r="E34" s="164" t="b">
        <f t="shared" si="1"/>
        <v>0</v>
      </c>
      <c r="F34" s="370" t="s">
        <v>61</v>
      </c>
      <c r="G34" s="370"/>
      <c r="H34" s="469"/>
      <c r="I34" s="371" t="s">
        <v>35</v>
      </c>
      <c r="J34" s="372">
        <v>1994300</v>
      </c>
      <c r="K34" s="373">
        <v>2532761</v>
      </c>
      <c r="L34" s="10"/>
      <c r="M34" s="67" t="s">
        <v>83</v>
      </c>
      <c r="O34" s="431"/>
      <c r="P34" s="431"/>
      <c r="Q34" s="429"/>
      <c r="R34" s="436"/>
      <c r="S34" s="205" t="s">
        <v>195</v>
      </c>
      <c r="T34" s="62" t="str">
        <f>IF(D34="Pályázatból szerzi be",J34,"")</f>
        <v/>
      </c>
      <c r="V34" s="62" t="str">
        <f>IF(D34="Pályázatból szerzi be",K34,"")</f>
        <v/>
      </c>
      <c r="X34" s="533"/>
      <c r="Y34" s="539"/>
      <c r="AA34" s="421" t="s">
        <v>327</v>
      </c>
      <c r="AB34" s="422"/>
      <c r="AC34" s="422"/>
      <c r="AD34" s="423"/>
      <c r="AE34" s="208"/>
      <c r="AF34" s="418" t="s">
        <v>331</v>
      </c>
      <c r="AG34" s="419"/>
      <c r="AH34" s="419"/>
      <c r="AI34" s="419"/>
      <c r="AJ34" s="420"/>
      <c r="AL34" s="359" t="s">
        <v>81</v>
      </c>
      <c r="AM34" s="208"/>
    </row>
    <row r="35" spans="1:39" ht="33" customHeight="1" thickTop="1">
      <c r="A35" s="208"/>
      <c r="B35" s="492" t="s">
        <v>62</v>
      </c>
      <c r="C35" s="494" t="s">
        <v>63</v>
      </c>
      <c r="D35" s="240" t="s">
        <v>80</v>
      </c>
      <c r="E35" s="164" t="b">
        <f t="shared" si="1"/>
        <v>1</v>
      </c>
      <c r="F35" s="145" t="s">
        <v>64</v>
      </c>
      <c r="G35" s="145" t="s">
        <v>292</v>
      </c>
      <c r="H35" s="466" t="str">
        <f>IF(AND(D35="Nem releváns",D36="Nem releváns"),
   "Nem választott fejlesztési cél",
   IF(AND(E35,E36),
      CONCATENATE('Egyéb költségek'!A7,CHAR(10),"TELJESÜL"),
      CONCATENATE('Egyéb költségek'!A7,CHAR(10),"NEM TELJESÜL")
   )
)</f>
        <v>A fejlesztési célon belül MINDEN összetevő teljesítése 
KÖTELEZŐ. 
TELJESÜL</v>
      </c>
      <c r="I35" s="179" t="s">
        <v>8</v>
      </c>
      <c r="J35" s="241">
        <v>20700</v>
      </c>
      <c r="K35" s="242">
        <v>26289</v>
      </c>
      <c r="L35" s="10"/>
      <c r="M35" s="224">
        <v>1</v>
      </c>
      <c r="O35" s="427">
        <f>IF(Alapadatok!I37,1,0)</f>
        <v>0</v>
      </c>
      <c r="P35" s="427" t="str">
        <f>IF(AND(O35=1,E35,E36),"VAN","NINCS")</f>
        <v>NINCS</v>
      </c>
      <c r="Q35" s="427"/>
      <c r="R35" s="437">
        <f>IF(AND(E35,E36,P35="NINCS"),1,"Nem adható pont")</f>
        <v>1</v>
      </c>
      <c r="S35" s="205" t="s">
        <v>195</v>
      </c>
      <c r="T35" s="61">
        <f>IF(D35="Pályázatból szerzi be",J35*Alapadatok!$H$16*M35,"")</f>
        <v>248400</v>
      </c>
      <c r="V35" s="61">
        <f>IF($D35="Pályázatból szerzi be",$M35*Alapadatok!$H$16*K35,"")</f>
        <v>315468</v>
      </c>
      <c r="X35" s="532" t="s">
        <v>371</v>
      </c>
      <c r="Y35" s="538" t="s">
        <v>122</v>
      </c>
      <c r="AA35" s="296">
        <f>IF(AND(E35,D35="Pályázatból szerzi be"),J35,0)</f>
        <v>20700</v>
      </c>
      <c r="AB35" s="129">
        <f>AA35*M35</f>
        <v>20700</v>
      </c>
      <c r="AC35" s="137">
        <f>AB35*12</f>
        <v>248400</v>
      </c>
      <c r="AD35" s="130">
        <f>AB35*36</f>
        <v>745200</v>
      </c>
      <c r="AE35" s="208"/>
      <c r="AF35" s="136"/>
      <c r="AG35" s="383">
        <v>10000</v>
      </c>
      <c r="AH35" s="129">
        <f>AG35*M35</f>
        <v>10000</v>
      </c>
      <c r="AI35" s="137">
        <f>AH35*12</f>
        <v>120000</v>
      </c>
      <c r="AJ35" s="130">
        <f>AI35*3</f>
        <v>360000</v>
      </c>
      <c r="AL35" s="379">
        <f>IF(AND(E35,D35="Pályázatból szerzi be"),AD35-AJ35,"Nem releváns")</f>
        <v>385200</v>
      </c>
      <c r="AM35" s="208"/>
    </row>
    <row r="36" spans="1:39" ht="33" customHeight="1" thickBot="1">
      <c r="A36" s="208"/>
      <c r="B36" s="493"/>
      <c r="C36" s="495"/>
      <c r="D36" s="172" t="s">
        <v>80</v>
      </c>
      <c r="E36" s="164" t="b">
        <f t="shared" si="1"/>
        <v>1</v>
      </c>
      <c r="F36" s="122" t="s">
        <v>65</v>
      </c>
      <c r="G36" s="120"/>
      <c r="H36" s="467"/>
      <c r="I36" s="40" t="s">
        <v>35</v>
      </c>
      <c r="J36" s="41">
        <v>1329500</v>
      </c>
      <c r="K36" s="35">
        <v>1688465</v>
      </c>
      <c r="L36" s="10"/>
      <c r="M36" s="223" t="s">
        <v>83</v>
      </c>
      <c r="O36" s="429"/>
      <c r="P36" s="429"/>
      <c r="Q36" s="429"/>
      <c r="R36" s="439"/>
      <c r="S36" s="205" t="s">
        <v>195</v>
      </c>
      <c r="T36" s="62">
        <f>IF(D36="Pályázatból szerzi be",J36,"")</f>
        <v>1329500</v>
      </c>
      <c r="V36" s="62">
        <f>IF(D36="Pályázatból szerzi be",K36,"")</f>
        <v>1688465</v>
      </c>
      <c r="X36" s="533"/>
      <c r="Y36" s="539"/>
      <c r="AA36" s="418" t="s">
        <v>331</v>
      </c>
      <c r="AB36" s="419"/>
      <c r="AC36" s="419"/>
      <c r="AD36" s="420"/>
      <c r="AE36" s="208"/>
      <c r="AF36" s="418" t="s">
        <v>331</v>
      </c>
      <c r="AG36" s="419"/>
      <c r="AH36" s="419"/>
      <c r="AI36" s="419"/>
      <c r="AJ36" s="420"/>
      <c r="AL36" s="359" t="s">
        <v>81</v>
      </c>
      <c r="AM36" s="208"/>
    </row>
    <row r="37" spans="1:39" ht="58.5" customHeight="1" thickTop="1" thickBot="1">
      <c r="A37" s="208"/>
      <c r="B37" s="42" t="s">
        <v>66</v>
      </c>
      <c r="C37" s="43" t="s">
        <v>67</v>
      </c>
      <c r="D37" s="173" t="s">
        <v>81</v>
      </c>
      <c r="E37" s="164" t="b">
        <f t="shared" si="1"/>
        <v>0</v>
      </c>
      <c r="F37" s="175" t="s">
        <v>68</v>
      </c>
      <c r="G37" s="176" t="s">
        <v>191</v>
      </c>
      <c r="H37" s="127" t="s">
        <v>156</v>
      </c>
      <c r="I37" s="44" t="s">
        <v>10</v>
      </c>
      <c r="J37" s="45">
        <v>3200</v>
      </c>
      <c r="K37" s="46">
        <v>4064</v>
      </c>
      <c r="L37" s="10"/>
      <c r="M37" s="74" t="s">
        <v>83</v>
      </c>
      <c r="O37" s="253">
        <f>IF(Alapadatok!I42,1,0)</f>
        <v>0</v>
      </c>
      <c r="P37" s="253" t="str">
        <f>IF(AND(O37=1,E37),"VAN","NINCS")</f>
        <v>NINCS</v>
      </c>
      <c r="Q37" s="253"/>
      <c r="R37" s="263" t="str">
        <f>IF(AND(E37,P37="NINCS"),1,"Nem adható pont")</f>
        <v>Nem adható pont</v>
      </c>
      <c r="S37" s="205" t="s">
        <v>195</v>
      </c>
      <c r="T37" s="63" t="str">
        <f>IF(D37="Pályázatból szerzi be",J37*Alapadatok!$H$16,"")</f>
        <v/>
      </c>
      <c r="V37" s="63" t="str">
        <f>IF($D37="Pályázatból szerzi be",Alapadatok!$H$16*K37,"")</f>
        <v/>
      </c>
      <c r="X37" s="78" t="s">
        <v>371</v>
      </c>
      <c r="Y37" s="79" t="s">
        <v>123</v>
      </c>
      <c r="AA37" s="296">
        <f>IF(AND(E37,D37="Pályázatból szerzi be"),J37,0)</f>
        <v>0</v>
      </c>
      <c r="AB37" s="299">
        <f>AA37</f>
        <v>0</v>
      </c>
      <c r="AC37" s="300">
        <f>AB37*12</f>
        <v>0</v>
      </c>
      <c r="AD37" s="298">
        <f>AB37*36</f>
        <v>0</v>
      </c>
      <c r="AE37" s="208"/>
      <c r="AF37" s="386" t="s">
        <v>380</v>
      </c>
      <c r="AG37" s="383">
        <f>IF(AND(E37,D37="Pályázatból szerzi be"),2490,0)</f>
        <v>0</v>
      </c>
      <c r="AH37" s="129">
        <f>AG37</f>
        <v>0</v>
      </c>
      <c r="AI37" s="137">
        <f>AH37*12</f>
        <v>0</v>
      </c>
      <c r="AJ37" s="130">
        <f>AI37*3</f>
        <v>0</v>
      </c>
      <c r="AL37" s="381" t="str">
        <f>IF(AND(E37,D37="Pályázatból szerzi be"),AD37-AJ37,"Nem releváns")</f>
        <v>Nem releváns</v>
      </c>
      <c r="AM37" s="208"/>
    </row>
    <row r="38" spans="1:39" ht="56.75" customHeight="1" thickTop="1" thickBot="1">
      <c r="A38" s="208"/>
      <c r="B38" s="472" t="s">
        <v>69</v>
      </c>
      <c r="C38" s="470" t="s">
        <v>85</v>
      </c>
      <c r="D38" s="171" t="s">
        <v>81</v>
      </c>
      <c r="E38" s="164" t="b">
        <f t="shared" si="1"/>
        <v>0</v>
      </c>
      <c r="F38" s="365" t="s">
        <v>70</v>
      </c>
      <c r="G38" s="366" t="s">
        <v>190</v>
      </c>
      <c r="H38" s="468" t="str">
        <f>IF(AND(D38="Nem releváns",D39="Nem releváns"),
   "Nem választott fejlesztési cél",
   IF(AND(E38,E39),
      CONCATENATE('Egyéb költségek'!A7,CHAR(10),"TELJESÜL"),
      CONCATENATE('Egyéb költségek'!A7,CHAR(10),"NEM TELJESÜL")
   )
)</f>
        <v>Nem választott fejlesztési cél</v>
      </c>
      <c r="I38" s="367" t="s">
        <v>10</v>
      </c>
      <c r="J38" s="368">
        <v>19200</v>
      </c>
      <c r="K38" s="369">
        <v>24384</v>
      </c>
      <c r="L38" s="10"/>
      <c r="M38" s="71" t="s">
        <v>83</v>
      </c>
      <c r="O38" s="432">
        <f>IF(Alapadatok!I43,1,0)</f>
        <v>0</v>
      </c>
      <c r="P38" s="432" t="str">
        <f>IF(AND(O38=1,E39,E38),"VAN","NINCS")</f>
        <v>NINCS</v>
      </c>
      <c r="Q38" s="432"/>
      <c r="R38" s="434" t="str">
        <f>IF(AND(E38,E39,P38="NINCS"),1,"Nem adható pont")</f>
        <v>Nem adható pont</v>
      </c>
      <c r="S38" s="205" t="s">
        <v>195</v>
      </c>
      <c r="T38" s="61" t="str">
        <f>IF(D38="Pályázatból szerzi be",J38*Alapadatok!$H$16,"")</f>
        <v/>
      </c>
      <c r="V38" s="61" t="str">
        <f>IF($D38="Pályázatból szerzi be",Alapadatok!$H$16*K38,"")</f>
        <v/>
      </c>
      <c r="X38" s="527" t="s">
        <v>373</v>
      </c>
      <c r="Y38" s="75" t="s">
        <v>124</v>
      </c>
      <c r="AA38" s="350"/>
      <c r="AB38" s="129">
        <f>IF(AND(E38,E39,D38="Pályázatból szerzi be"),J38,0)</f>
        <v>0</v>
      </c>
      <c r="AC38" s="137">
        <f>AB38*12</f>
        <v>0</v>
      </c>
      <c r="AD38" s="130">
        <f>AB38*36</f>
        <v>0</v>
      </c>
      <c r="AE38" s="208"/>
      <c r="AF38" s="136"/>
      <c r="AG38" s="286"/>
      <c r="AH38" s="129">
        <f>IF(AND(E38,E39,D38="Pályázatból szerzi be"),J38,0)</f>
        <v>0</v>
      </c>
      <c r="AI38" s="137">
        <f>AH38*12</f>
        <v>0</v>
      </c>
      <c r="AJ38" s="130">
        <f>AH38*36</f>
        <v>0</v>
      </c>
      <c r="AL38" s="379" t="str">
        <f>IF(AND(E38,D38="Pályázatból szerzi be"),AD38-AJ38,"Nem releváns")</f>
        <v>Nem releváns</v>
      </c>
      <c r="AM38" s="208"/>
    </row>
    <row r="39" spans="1:39" ht="56.75" customHeight="1" thickBot="1">
      <c r="A39" s="208"/>
      <c r="B39" s="473"/>
      <c r="C39" s="471"/>
      <c r="D39" s="174" t="s">
        <v>81</v>
      </c>
      <c r="E39" s="164" t="b">
        <f t="shared" si="1"/>
        <v>0</v>
      </c>
      <c r="F39" s="370" t="s">
        <v>71</v>
      </c>
      <c r="G39" s="370"/>
      <c r="H39" s="469"/>
      <c r="I39" s="371" t="s">
        <v>10</v>
      </c>
      <c r="J39" s="372">
        <v>3000</v>
      </c>
      <c r="K39" s="373">
        <v>3810</v>
      </c>
      <c r="L39" s="10"/>
      <c r="M39" s="67" t="s">
        <v>83</v>
      </c>
      <c r="O39" s="433"/>
      <c r="P39" s="433"/>
      <c r="Q39" s="433"/>
      <c r="R39" s="436"/>
      <c r="S39" s="206" t="s">
        <v>195</v>
      </c>
      <c r="T39" s="62" t="str">
        <f>IF(D39="Pályázatból szerzi be",J39*Alapadatok!$H$16,"")</f>
        <v/>
      </c>
      <c r="V39" s="62" t="str">
        <f>IF($D39="Pályázatból szerzi be",Alapadatok!$H$16*K39,"")</f>
        <v/>
      </c>
      <c r="X39" s="498"/>
      <c r="Y39" s="77" t="s">
        <v>125</v>
      </c>
      <c r="AA39" s="351"/>
      <c r="AB39" s="134">
        <f>IF(AND(E38,E39,D39="Pályázatból szerzi be"),J39,0)</f>
        <v>0</v>
      </c>
      <c r="AC39" s="138">
        <f>AB39*12</f>
        <v>0</v>
      </c>
      <c r="AD39" s="135">
        <f>AB39*36</f>
        <v>0</v>
      </c>
      <c r="AE39" s="208"/>
      <c r="AF39" s="133"/>
      <c r="AG39" s="280"/>
      <c r="AH39" s="134">
        <f>IF(AND(E38,E39,D39="Pályázatból szerzi be"),J39,0)</f>
        <v>0</v>
      </c>
      <c r="AI39" s="138">
        <f>AH39*12</f>
        <v>0</v>
      </c>
      <c r="AJ39" s="135">
        <f>AH39*36</f>
        <v>0</v>
      </c>
      <c r="AL39" s="362" t="str">
        <f>IF(AND(E39,D39="Pályázatból szerzi be"),AD39-AJ39,"Nem releváns")</f>
        <v>Nem releváns</v>
      </c>
      <c r="AM39" s="208"/>
    </row>
    <row r="40" spans="1:39" ht="12.75" customHeight="1" thickTop="1" thickBot="1">
      <c r="A40" s="208"/>
      <c r="B40" s="211"/>
      <c r="C40" s="212"/>
      <c r="D40" s="213"/>
      <c r="E40" s="208"/>
      <c r="F40" s="213"/>
      <c r="G40" s="213"/>
      <c r="H40" s="213"/>
      <c r="I40" s="213"/>
      <c r="J40" s="213"/>
      <c r="K40" s="213"/>
      <c r="L40" s="213"/>
      <c r="M40" s="213"/>
      <c r="N40" s="208"/>
      <c r="O40" s="208"/>
      <c r="P40" s="208"/>
      <c r="Q40" s="208"/>
      <c r="R40" s="208"/>
      <c r="S40" s="208"/>
      <c r="T40" s="210"/>
      <c r="U40" s="208"/>
      <c r="V40" s="208"/>
      <c r="W40" s="208"/>
      <c r="X40" s="208"/>
      <c r="Y40" s="208"/>
      <c r="Z40" s="208"/>
      <c r="AA40" s="208"/>
      <c r="AB40" s="208"/>
      <c r="AC40" s="208"/>
      <c r="AD40" s="208"/>
      <c r="AE40" s="208"/>
      <c r="AF40" s="208"/>
      <c r="AG40" s="208"/>
      <c r="AH40" s="208"/>
      <c r="AI40" s="208"/>
      <c r="AJ40" s="208"/>
      <c r="AK40" s="208"/>
      <c r="AL40" s="208"/>
      <c r="AM40" s="208"/>
    </row>
    <row r="41" spans="1:39" ht="26.75" customHeight="1" thickBot="1">
      <c r="C41" s="334" t="s">
        <v>356</v>
      </c>
      <c r="S41" s="458" t="s">
        <v>180</v>
      </c>
      <c r="T41" s="459"/>
      <c r="V41" s="157">
        <f>SUMIFS(T7:T39,S7:S39,"sw")</f>
        <v>5039400</v>
      </c>
    </row>
    <row r="42" spans="1:39" ht="24.5" customHeight="1" thickBot="1">
      <c r="C42" s="335" t="s">
        <v>357</v>
      </c>
      <c r="S42" s="458" t="s">
        <v>179</v>
      </c>
      <c r="T42" s="459"/>
      <c r="V42" s="157">
        <f>SUMIFS(T7:T39,S7:S39,"szolg")</f>
        <v>3543400</v>
      </c>
    </row>
    <row r="43" spans="1:39" ht="26.75" customHeight="1" thickBot="1">
      <c r="C43" s="334" t="s">
        <v>358</v>
      </c>
      <c r="S43" s="460" t="s">
        <v>181</v>
      </c>
      <c r="T43" s="461"/>
      <c r="V43" s="157">
        <f>SUMIFS(T7:T39,S7:S39,"okt")</f>
        <v>374500</v>
      </c>
    </row>
    <row r="44" spans="1:39" ht="26.25" customHeight="1" thickBot="1">
      <c r="C44" s="334" t="s">
        <v>359</v>
      </c>
      <c r="S44" s="452" t="s">
        <v>200</v>
      </c>
      <c r="T44" s="453"/>
      <c r="V44" s="157">
        <f>V41+V42+V43</f>
        <v>8957300</v>
      </c>
    </row>
    <row r="45" spans="1:39" s="225" customFormat="1" ht="23" customHeight="1">
      <c r="B45" s="158"/>
      <c r="C45" s="335" t="s">
        <v>360</v>
      </c>
      <c r="T45" s="204"/>
    </row>
    <row r="46" spans="1:39" s="225" customFormat="1" ht="23" customHeight="1">
      <c r="B46" s="158"/>
      <c r="T46" s="204"/>
    </row>
    <row r="47" spans="1:39" s="225" customFormat="1" ht="23" customHeight="1">
      <c r="B47" s="158"/>
      <c r="T47" s="204"/>
    </row>
  </sheetData>
  <autoFilter ref="O1:T39" xr:uid="{8CEEDA31-9841-4CFE-A17C-16946FC3C393}"/>
  <mergeCells count="159">
    <mergeCell ref="AL2:AL3"/>
    <mergeCell ref="AL5:AL6"/>
    <mergeCell ref="AF12:AJ13"/>
    <mergeCell ref="AL12:AL13"/>
    <mergeCell ref="AF14:AJ14"/>
    <mergeCell ref="AF15:AJ15"/>
    <mergeCell ref="AA34:AD34"/>
    <mergeCell ref="AA36:AD36"/>
    <mergeCell ref="AF36:AJ36"/>
    <mergeCell ref="AF18:AJ20"/>
    <mergeCell ref="AL18:AL20"/>
    <mergeCell ref="AF22:AJ22"/>
    <mergeCell ref="AA5:AD6"/>
    <mergeCell ref="AA12:AD13"/>
    <mergeCell ref="AA15:AD15"/>
    <mergeCell ref="AG2:AG3"/>
    <mergeCell ref="AH2:AH3"/>
    <mergeCell ref="AI2:AI3"/>
    <mergeCell ref="AF2:AF4"/>
    <mergeCell ref="AF5:AJ6"/>
    <mergeCell ref="AA14:AD14"/>
    <mergeCell ref="AA18:AD18"/>
    <mergeCell ref="AA19:AD19"/>
    <mergeCell ref="AA20:AD20"/>
    <mergeCell ref="AF1:AJ1"/>
    <mergeCell ref="AJ2:AJ3"/>
    <mergeCell ref="AA1:AD1"/>
    <mergeCell ref="F2:F4"/>
    <mergeCell ref="H2:H4"/>
    <mergeCell ref="I2:I4"/>
    <mergeCell ref="J2:J4"/>
    <mergeCell ref="K2:K4"/>
    <mergeCell ref="M2:M4"/>
    <mergeCell ref="T2:T4"/>
    <mergeCell ref="V2:V4"/>
    <mergeCell ref="X2:X4"/>
    <mergeCell ref="Y2:Y4"/>
    <mergeCell ref="AA2:AA3"/>
    <mergeCell ref="AB2:AB3"/>
    <mergeCell ref="AD2:AD3"/>
    <mergeCell ref="AC2:AC3"/>
    <mergeCell ref="X38:X39"/>
    <mergeCell ref="X22:X25"/>
    <mergeCell ref="Y23:Y25"/>
    <mergeCell ref="X27:X28"/>
    <mergeCell ref="X29:X32"/>
    <mergeCell ref="Y29:Y30"/>
    <mergeCell ref="X33:X34"/>
    <mergeCell ref="Y33:Y34"/>
    <mergeCell ref="AA31:AD31"/>
    <mergeCell ref="X35:X36"/>
    <mergeCell ref="Y35:Y36"/>
    <mergeCell ref="X7:X9"/>
    <mergeCell ref="X5:Y6"/>
    <mergeCell ref="B2:B3"/>
    <mergeCell ref="C2:C3"/>
    <mergeCell ref="F5:K5"/>
    <mergeCell ref="E2:E3"/>
    <mergeCell ref="D2:D3"/>
    <mergeCell ref="B7:B9"/>
    <mergeCell ref="C7:C9"/>
    <mergeCell ref="F6:K6"/>
    <mergeCell ref="O7:O9"/>
    <mergeCell ref="H7:H9"/>
    <mergeCell ref="R2:R3"/>
    <mergeCell ref="R7:R9"/>
    <mergeCell ref="G2:G4"/>
    <mergeCell ref="P7:P9"/>
    <mergeCell ref="P2:P4"/>
    <mergeCell ref="Q2:Q4"/>
    <mergeCell ref="Q7:Q9"/>
    <mergeCell ref="B10:B11"/>
    <mergeCell ref="C10:C11"/>
    <mergeCell ref="B12:B13"/>
    <mergeCell ref="C12:C13"/>
    <mergeCell ref="B16:B17"/>
    <mergeCell ref="C16:C17"/>
    <mergeCell ref="B33:B34"/>
    <mergeCell ref="C33:C34"/>
    <mergeCell ref="B35:B36"/>
    <mergeCell ref="C35:C36"/>
    <mergeCell ref="H35:H36"/>
    <mergeCell ref="H38:H39"/>
    <mergeCell ref="C38:C39"/>
    <mergeCell ref="H33:H34"/>
    <mergeCell ref="B38:B39"/>
    <mergeCell ref="B29:B32"/>
    <mergeCell ref="C29:C32"/>
    <mergeCell ref="B18:B21"/>
    <mergeCell ref="C18:C21"/>
    <mergeCell ref="B22:B25"/>
    <mergeCell ref="C22:C25"/>
    <mergeCell ref="B27:B28"/>
    <mergeCell ref="C27:C28"/>
    <mergeCell ref="H10:H11"/>
    <mergeCell ref="H12:H13"/>
    <mergeCell ref="H16:H17"/>
    <mergeCell ref="H29:H31"/>
    <mergeCell ref="H19:H21"/>
    <mergeCell ref="H22:H25"/>
    <mergeCell ref="S44:T44"/>
    <mergeCell ref="S2:S4"/>
    <mergeCell ref="O2:O3"/>
    <mergeCell ref="S41:T41"/>
    <mergeCell ref="S42:T42"/>
    <mergeCell ref="S43:T43"/>
    <mergeCell ref="O10:O11"/>
    <mergeCell ref="R10:R11"/>
    <mergeCell ref="O12:O13"/>
    <mergeCell ref="R12:R13"/>
    <mergeCell ref="O16:O17"/>
    <mergeCell ref="R16:R17"/>
    <mergeCell ref="O27:O28"/>
    <mergeCell ref="O18:O21"/>
    <mergeCell ref="O22:O25"/>
    <mergeCell ref="O29:O32"/>
    <mergeCell ref="O33:O34"/>
    <mergeCell ref="O35:O36"/>
    <mergeCell ref="O38:O39"/>
    <mergeCell ref="R18:R21"/>
    <mergeCell ref="R22:R25"/>
    <mergeCell ref="R29:R31"/>
    <mergeCell ref="R33:R34"/>
    <mergeCell ref="R35:R36"/>
    <mergeCell ref="R38:R39"/>
    <mergeCell ref="P38:P39"/>
    <mergeCell ref="R27:R28"/>
    <mergeCell ref="Q38:Q39"/>
    <mergeCell ref="Q35:Q36"/>
    <mergeCell ref="P10:P11"/>
    <mergeCell ref="P12:P13"/>
    <mergeCell ref="P16:P17"/>
    <mergeCell ref="P18:P21"/>
    <mergeCell ref="P22:P25"/>
    <mergeCell ref="P27:P28"/>
    <mergeCell ref="P29:P32"/>
    <mergeCell ref="P33:P34"/>
    <mergeCell ref="P35:P36"/>
    <mergeCell ref="AF34:AJ34"/>
    <mergeCell ref="AF31:AJ31"/>
    <mergeCell ref="AF28:AJ28"/>
    <mergeCell ref="AA28:AD28"/>
    <mergeCell ref="AF29:AJ30"/>
    <mergeCell ref="Q10:Q11"/>
    <mergeCell ref="Q12:Q13"/>
    <mergeCell ref="Q16:Q17"/>
    <mergeCell ref="Q18:Q21"/>
    <mergeCell ref="Q22:Q25"/>
    <mergeCell ref="Q27:Q28"/>
    <mergeCell ref="Q29:Q32"/>
    <mergeCell ref="Q33:Q34"/>
    <mergeCell ref="AA22:AD22"/>
    <mergeCell ref="Y18:Y21"/>
    <mergeCell ref="X10:X11"/>
    <mergeCell ref="Y12:Y13"/>
    <mergeCell ref="X12:X13"/>
    <mergeCell ref="X16:X17"/>
    <mergeCell ref="Y16:Y17"/>
    <mergeCell ref="X18:X21"/>
  </mergeCells>
  <conditionalFormatting sqref="D5:E39">
    <cfRule type="containsText" dxfId="25" priority="38" operator="containsText" text="Nem releváns">
      <formula>NOT(ISERROR(SEARCH("Nem releváns",D5)))</formula>
    </cfRule>
    <cfRule type="containsText" dxfId="24" priority="41" operator="containsText" text="Pályázatból szerzi be">
      <formula>NOT(ISERROR(SEARCH("Pályázatból szerzi be",D5)))</formula>
    </cfRule>
  </conditionalFormatting>
  <conditionalFormatting sqref="H7:H11">
    <cfRule type="containsText" dxfId="23" priority="14" operator="containsText" text="NEM TELJESÜL">
      <formula>NOT(ISERROR(SEARCH("NEM TELJESÜL",H7)))</formula>
    </cfRule>
  </conditionalFormatting>
  <conditionalFormatting sqref="H16:H17">
    <cfRule type="containsText" dxfId="22" priority="13" operator="containsText" text="NEM TELJESÜL">
      <formula>NOT(ISERROR(SEARCH("NEM TELJESÜL",H16)))</formula>
    </cfRule>
  </conditionalFormatting>
  <conditionalFormatting sqref="H22">
    <cfRule type="containsText" dxfId="21" priority="1" operator="containsText" text="NEM TELJESÜL">
      <formula>NOT(ISERROR(SEARCH("NEM TELJESÜL",H22)))</formula>
    </cfRule>
  </conditionalFormatting>
  <conditionalFormatting sqref="H29:H31">
    <cfRule type="containsText" dxfId="20" priority="11" operator="containsText" text="NEM TELJESÜL">
      <formula>NOT(ISERROR(SEARCH("NEM TELJESÜL",H29)))</formula>
    </cfRule>
  </conditionalFormatting>
  <conditionalFormatting sqref="P7:Q39">
    <cfRule type="containsText" dxfId="17" priority="2" operator="containsText" text="NINCS">
      <formula>NOT(ISERROR(SEARCH("NINCS",P7)))</formula>
    </cfRule>
    <cfRule type="containsText" dxfId="16" priority="3" operator="containsText" text="VAN">
      <formula>NOT(ISERROR(SEARCH("VAN",P7)))</formula>
    </cfRule>
  </conditionalFormatting>
  <conditionalFormatting sqref="T7:T39 V7:V39">
    <cfRule type="expression" dxfId="15" priority="24">
      <formula>$D7="Nem releváns"</formula>
    </cfRule>
  </conditionalFormatting>
  <dataValidations count="4">
    <dataValidation type="whole" allowBlank="1" showErrorMessage="1" errorTitle="HIBA" error="A fejlesztési célokhoz rendelt felhasználószám nem lehet nagyobb, mint a vállalkozás statisztikai létszáma, és nem lehet kevesebb, mint 1 fő!_x000a__x000a_A mezőbe csak pozitív, egész szám írható be!" promptTitle="HIBA" sqref="M10" xr:uid="{4F18B1C5-65AC-4872-8F0D-54AAD6C51E86}">
      <formula1>1</formula1>
      <formula2>J2</formula2>
    </dataValidation>
    <dataValidation type="whole" operator="lessThanOrEqual" allowBlank="1" showErrorMessage="1" errorTitle="HIBA" error="A „12. Kettő vagy több típusú közösségi média használata” fejlesztési cél esetén, a Képzés összetevőben maximum 1 fő képzése tervezhető és számolható el a projekt keretében" sqref="M28" xr:uid="{BE89700B-FA35-4BAB-80A5-4B3D4E7F583D}">
      <formula1>1</formula1>
    </dataValidation>
    <dataValidation type="custom" allowBlank="1" showErrorMessage="1" errorTitle="Ellentmondás van" error="Nem választható egyszerre a 3. és 6. fejlesztési cél!_x000a_(SaaS beszerzése és IKT szakember igénybe vétele)" sqref="E1" xr:uid="{76A0AEB0-D36A-4586-9025-3EB36E785614}">
      <formula1>NOT($E$1)</formula1>
    </dataValidation>
    <dataValidation type="custom" allowBlank="1" showErrorMessage="1" errorTitle="BIBI" sqref="F1" xr:uid="{2EBBA7DC-93C2-451B-A52B-EAF50E826E49}">
      <formula1>NOT($F$1)</formula1>
    </dataValidation>
  </dataValidations>
  <hyperlinks>
    <hyperlink ref="O2:O3" location="Alapadatok!B20" display="Alapadatok!B20" xr:uid="{40F864A8-9B15-4714-8E57-8E4D43A09E78}"/>
  </hyperlinks>
  <pageMargins left="0.7" right="0.7" top="0.75" bottom="0.75" header="0.3" footer="0.3"/>
  <pageSetup paperSize="9" orientation="portrait" verticalDpi="0" r:id="rId1"/>
  <ignoredErrors>
    <ignoredError sqref="T8 T28 T34:T35 V10 V34:V35 AB38 AI26" formula="1"/>
    <ignoredError sqref="AG16:AG17 AG21" formulaRange="1"/>
  </ignoredErrors>
  <drawing r:id="rId2"/>
  <legacyDrawing r:id="rId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cellIs" priority="44" operator="lessThanOrEqual" id="{00000000-000E-0000-0200-000021000000}">
            <xm:f>Alapadatok!$H$14</xm:f>
            <x14:dxf>
              <fill>
                <patternFill>
                  <bgColor theme="9" tint="0.79998168889431442"/>
                </patternFill>
              </fill>
            </x14:dxf>
          </x14:cfRule>
          <xm:sqref>M7 M12:M13 M15 M20:M21 M28 M32:M33 M35</xm:sqref>
        </x14:conditionalFormatting>
        <x14:conditionalFormatting xmlns:xm="http://schemas.microsoft.com/office/excel/2006/main">
          <x14:cfRule type="cellIs" priority="9" operator="lessThanOrEqual" id="{7D3E9C3F-B3EE-4863-915B-98ACA92063CA}">
            <xm:f>Alapadatok!$H$14</xm:f>
            <x14:dxf>
              <fill>
                <patternFill>
                  <bgColor theme="9" tint="0.79998168889431442"/>
                </patternFill>
              </fill>
            </x14:dxf>
          </x14:cfRule>
          <xm:sqref>M10</xm:sqref>
        </x14:conditionalFormatting>
      </x14:conditionalFormattings>
    </ext>
    <ext xmlns:x14="http://schemas.microsoft.com/office/spreadsheetml/2009/9/main" uri="{CCE6A557-97BC-4b89-ADB6-D9C93CAAB3DF}">
      <x14:dataValidations xmlns:xm="http://schemas.microsoft.com/office/excel/2006/main" count="9">
        <x14:dataValidation type="list" allowBlank="1" showErrorMessage="1" errorTitle="HIBA" error="Csak a megadott 3 állapot közül választható!" xr:uid="{CE6415D3-0CEE-4996-ACDC-5FA22422F171}">
          <x14:formula1>
            <xm:f>'Egyéb költségek'!$A$1:$A$2</xm:f>
          </x14:formula1>
          <xm:sqref>D5:E5</xm:sqref>
        </x14:dataValidation>
        <x14:dataValidation type="list" allowBlank="1" showInputMessage="1" showErrorMessage="1" xr:uid="{76FADAB9-2794-42F2-9186-FB1BD7A2E0E8}">
          <x14:formula1>
            <xm:f>'Egyéb költségek'!$A$1:$A$2</xm:f>
          </x14:formula1>
          <xm:sqref>D6:D39 E6</xm:sqref>
        </x14:dataValidation>
        <x14:dataValidation type="list" allowBlank="1" showErrorMessage="1" errorTitle="HIBA" error="Csak a listában szereplő termékből választhatsz!" xr:uid="{2F8B5A61-E443-4686-82CA-686506EA2B9E}">
          <x14:formula1>
            <xm:f>'Alternatív termékek'!$A$5:$A$21</xm:f>
          </x14:formula1>
          <xm:sqref>AF7</xm:sqref>
        </x14:dataValidation>
        <x14:dataValidation type="list" allowBlank="1" showErrorMessage="1" xr:uid="{C3054FAB-A2CD-4136-92DC-5C5544C1FE2E}">
          <x14:formula1>
            <xm:f>'Alternatív termékek'!$A$21:$A$25</xm:f>
          </x14:formula1>
          <xm:sqref>AF10</xm:sqref>
        </x14:dataValidation>
        <x14:dataValidation type="list" allowBlank="1" showErrorMessage="1" errorTitle="HIBA" xr:uid="{C97F5AE7-A65C-40F7-B785-D509F7FEF6DD}">
          <x14:formula1>
            <xm:f>'Alternatív termékek'!$A$26:$A$36</xm:f>
          </x14:formula1>
          <xm:sqref>AF16</xm:sqref>
        </x14:dataValidation>
        <x14:dataValidation type="list" allowBlank="1" showErrorMessage="1" errorTitle="HIBA" xr:uid="{24419E4A-EBE6-47E8-AA91-F6FBD5238C9C}">
          <x14:formula1>
            <xm:f>'Alternatív termékek'!$A$37:$A$41</xm:f>
          </x14:formula1>
          <xm:sqref>AF17</xm:sqref>
        </x14:dataValidation>
        <x14:dataValidation type="list" allowBlank="1" showErrorMessage="1" errorTitle="HIBA" xr:uid="{0E9A6B76-0F9F-4A14-9205-92F6A290AE06}">
          <x14:formula1>
            <xm:f>'Alternatív termékek'!$A$42:$A$46</xm:f>
          </x14:formula1>
          <xm:sqref>AF21</xm:sqref>
        </x14:dataValidation>
        <x14:dataValidation type="list" allowBlank="1" showErrorMessage="1" xr:uid="{F329D25E-5465-411F-8D43-8A655575D156}">
          <x14:formula1>
            <xm:f>'Alternatív termékek'!$A$47:$A$57</xm:f>
          </x14:formula1>
          <xm:sqref>AF32</xm:sqref>
        </x14:dataValidation>
        <x14:dataValidation type="whole" allowBlank="1" showErrorMessage="1" errorTitle="HIBA" error="A fejlesztési célokhoz rendelt felhasználószám nem lehet nagyobb, mint a vállalkozás statisztikai létszáma, és nem lehet kevesebb, mint 1 fő!_x000a__x000a_A mezőbe csak pozitív, egész szám írható be!" promptTitle="HIBA" xr:uid="{F1EED34E-FE3B-4314-BD70-413A000FDFEE}">
          <x14:formula1>
            <xm:f>1</xm:f>
          </x14:formula1>
          <x14:formula2>
            <xm:f>Alapadatok!I14</xm:f>
          </x14:formula2>
          <xm:sqref>M7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E4EC43-7415-4A16-BE4F-72739936F893}">
  <sheetPr>
    <pageSetUpPr fitToPage="1"/>
  </sheetPr>
  <dimension ref="B1:G39"/>
  <sheetViews>
    <sheetView zoomScaleNormal="100" workbookViewId="0">
      <selection activeCell="C11" sqref="C11"/>
    </sheetView>
  </sheetViews>
  <sheetFormatPr baseColWidth="10" defaultColWidth="8.83203125" defaultRowHeight="15"/>
  <cols>
    <col min="1" max="1" width="1.5" customWidth="1"/>
    <col min="2" max="2" width="10.1640625" customWidth="1"/>
    <col min="3" max="3" width="37.33203125" customWidth="1"/>
    <col min="4" max="4" width="36" customWidth="1"/>
    <col min="5" max="5" width="17.5" customWidth="1"/>
    <col min="6" max="6" width="12.1640625" customWidth="1"/>
    <col min="7" max="7" width="12.6640625" customWidth="1"/>
  </cols>
  <sheetData>
    <row r="1" spans="2:7" ht="36.75" customHeight="1" thickTop="1" thickBot="1">
      <c r="B1" s="593" t="s">
        <v>137</v>
      </c>
      <c r="C1" s="594"/>
      <c r="D1" s="594"/>
      <c r="E1" s="594"/>
      <c r="F1" s="594"/>
      <c r="G1" s="595"/>
    </row>
    <row r="2" spans="2:7" ht="17" thickTop="1" thickBot="1"/>
    <row r="3" spans="2:7" ht="41" customHeight="1" thickTop="1" thickBot="1">
      <c r="B3" s="86" t="s">
        <v>135</v>
      </c>
      <c r="C3" s="90" t="s">
        <v>131</v>
      </c>
      <c r="D3" s="87" t="s">
        <v>132</v>
      </c>
      <c r="E3" s="88" t="s">
        <v>74</v>
      </c>
      <c r="F3" s="90" t="s">
        <v>134</v>
      </c>
      <c r="G3" s="90" t="s">
        <v>133</v>
      </c>
    </row>
    <row r="4" spans="2:7" ht="27" customHeight="1" thickTop="1">
      <c r="B4" s="597" t="s">
        <v>136</v>
      </c>
      <c r="C4" s="588" t="s">
        <v>6</v>
      </c>
      <c r="D4" s="91" t="s">
        <v>7</v>
      </c>
      <c r="E4" s="92" t="s">
        <v>8</v>
      </c>
      <c r="F4" s="93">
        <v>5900</v>
      </c>
      <c r="G4" s="94">
        <v>7493</v>
      </c>
    </row>
    <row r="5" spans="2:7" ht="27" customHeight="1">
      <c r="B5" s="598"/>
      <c r="C5" s="589"/>
      <c r="D5" s="95" t="s">
        <v>9</v>
      </c>
      <c r="E5" s="96" t="s">
        <v>10</v>
      </c>
      <c r="F5" s="97">
        <v>200</v>
      </c>
      <c r="G5" s="98">
        <v>254</v>
      </c>
    </row>
    <row r="6" spans="2:7" ht="27" customHeight="1" thickBot="1">
      <c r="B6" s="599"/>
      <c r="C6" s="590"/>
      <c r="D6" s="99" t="s">
        <v>11</v>
      </c>
      <c r="E6" s="100" t="s">
        <v>10</v>
      </c>
      <c r="F6" s="101">
        <v>127300</v>
      </c>
      <c r="G6" s="102">
        <v>161671</v>
      </c>
    </row>
    <row r="7" spans="2:7" ht="27" customHeight="1" thickTop="1" thickBot="1">
      <c r="B7" s="597" t="s">
        <v>136</v>
      </c>
      <c r="C7" s="588" t="s">
        <v>13</v>
      </c>
      <c r="D7" s="103" t="s">
        <v>14</v>
      </c>
      <c r="E7" s="104" t="s">
        <v>8</v>
      </c>
      <c r="F7" s="105">
        <v>5300</v>
      </c>
      <c r="G7" s="106">
        <v>6731</v>
      </c>
    </row>
    <row r="8" spans="2:7" ht="27" customHeight="1" thickBot="1">
      <c r="B8" s="599"/>
      <c r="C8" s="590"/>
      <c r="D8" s="99" t="s">
        <v>15</v>
      </c>
      <c r="E8" s="100" t="s">
        <v>10</v>
      </c>
      <c r="F8" s="101">
        <v>53000</v>
      </c>
      <c r="G8" s="102">
        <v>67310</v>
      </c>
    </row>
    <row r="9" spans="2:7" ht="27" customHeight="1" thickTop="1" thickBot="1">
      <c r="B9" s="585"/>
      <c r="C9" s="585" t="s">
        <v>17</v>
      </c>
      <c r="D9" s="11" t="s">
        <v>18</v>
      </c>
      <c r="E9" s="12" t="s">
        <v>19</v>
      </c>
      <c r="F9" s="13">
        <v>96800</v>
      </c>
      <c r="G9" s="14">
        <v>122936</v>
      </c>
    </row>
    <row r="10" spans="2:7" ht="27" customHeight="1" thickBot="1">
      <c r="B10" s="587"/>
      <c r="C10" s="587"/>
      <c r="D10" s="15" t="s">
        <v>20</v>
      </c>
      <c r="E10" s="16" t="s">
        <v>19</v>
      </c>
      <c r="F10" s="17">
        <v>139100</v>
      </c>
      <c r="G10" s="18">
        <v>176657</v>
      </c>
    </row>
    <row r="11" spans="2:7" ht="27" customHeight="1" thickTop="1" thickBot="1">
      <c r="B11" s="107"/>
      <c r="C11" s="107" t="s">
        <v>22</v>
      </c>
      <c r="D11" s="108" t="s">
        <v>22</v>
      </c>
      <c r="E11" s="109" t="s">
        <v>23</v>
      </c>
      <c r="F11" s="110">
        <v>9500</v>
      </c>
      <c r="G11" s="111">
        <v>12065</v>
      </c>
    </row>
    <row r="12" spans="2:7" ht="33.75" customHeight="1" thickTop="1" thickBot="1">
      <c r="B12" s="84"/>
      <c r="C12" s="84" t="s">
        <v>25</v>
      </c>
      <c r="D12" s="20" t="s">
        <v>26</v>
      </c>
      <c r="E12" s="21" t="s">
        <v>19</v>
      </c>
      <c r="F12" s="22">
        <v>224700</v>
      </c>
      <c r="G12" s="23">
        <v>285369</v>
      </c>
    </row>
    <row r="13" spans="2:7" ht="27" customHeight="1" thickTop="1" thickBot="1">
      <c r="B13" s="476"/>
      <c r="C13" s="476" t="s">
        <v>28</v>
      </c>
      <c r="D13" s="11" t="s">
        <v>29</v>
      </c>
      <c r="E13" s="59" t="s">
        <v>30</v>
      </c>
      <c r="F13" s="13">
        <v>1400</v>
      </c>
      <c r="G13" s="14">
        <v>1778</v>
      </c>
    </row>
    <row r="14" spans="2:7" ht="24.75" customHeight="1" thickBot="1">
      <c r="B14" s="479"/>
      <c r="C14" s="479"/>
      <c r="D14" s="19" t="s">
        <v>31</v>
      </c>
      <c r="E14" s="60" t="s">
        <v>30</v>
      </c>
      <c r="F14" s="17">
        <v>3000</v>
      </c>
      <c r="G14" s="18">
        <v>3810</v>
      </c>
    </row>
    <row r="15" spans="2:7" ht="30.75" customHeight="1" thickTop="1" thickBot="1">
      <c r="B15" s="585"/>
      <c r="C15" s="585" t="s">
        <v>33</v>
      </c>
      <c r="D15" s="25" t="s">
        <v>34</v>
      </c>
      <c r="E15" s="12" t="s">
        <v>35</v>
      </c>
      <c r="F15" s="13">
        <v>524300</v>
      </c>
      <c r="G15" s="14">
        <v>665861</v>
      </c>
    </row>
    <row r="16" spans="2:7" ht="31.5" customHeight="1" thickBot="1">
      <c r="B16" s="586"/>
      <c r="C16" s="586"/>
      <c r="D16" s="6" t="s">
        <v>36</v>
      </c>
      <c r="E16" s="3" t="s">
        <v>35</v>
      </c>
      <c r="F16" s="8">
        <v>257900</v>
      </c>
      <c r="G16" s="26">
        <v>327533</v>
      </c>
    </row>
    <row r="17" spans="2:7" ht="26.75" customHeight="1" thickBot="1">
      <c r="B17" s="586"/>
      <c r="C17" s="586"/>
      <c r="D17" s="6" t="s">
        <v>37</v>
      </c>
      <c r="E17" s="3" t="s">
        <v>19</v>
      </c>
      <c r="F17" s="8">
        <v>294300</v>
      </c>
      <c r="G17" s="26">
        <v>373761</v>
      </c>
    </row>
    <row r="18" spans="2:7" ht="27" customHeight="1" thickBot="1">
      <c r="B18" s="587"/>
      <c r="C18" s="587"/>
      <c r="D18" s="15" t="s">
        <v>38</v>
      </c>
      <c r="E18" s="16" t="s">
        <v>8</v>
      </c>
      <c r="F18" s="17">
        <v>5200</v>
      </c>
      <c r="G18" s="18">
        <v>6604</v>
      </c>
    </row>
    <row r="19" spans="2:7" ht="17" thickTop="1" thickBot="1">
      <c r="B19" s="585"/>
      <c r="C19" s="585" t="s">
        <v>40</v>
      </c>
      <c r="D19" s="25" t="s">
        <v>41</v>
      </c>
      <c r="E19" s="12" t="s">
        <v>35</v>
      </c>
      <c r="F19" s="13">
        <v>345100</v>
      </c>
      <c r="G19" s="14">
        <v>438277</v>
      </c>
    </row>
    <row r="20" spans="2:7" ht="20" customHeight="1" thickBot="1">
      <c r="B20" s="586"/>
      <c r="C20" s="586"/>
      <c r="D20" s="1" t="s">
        <v>42</v>
      </c>
      <c r="E20" s="3" t="s">
        <v>10</v>
      </c>
      <c r="F20" s="8">
        <v>10100</v>
      </c>
      <c r="G20" s="26">
        <v>12827</v>
      </c>
    </row>
    <row r="21" spans="2:7" ht="20.75" customHeight="1" thickBot="1">
      <c r="B21" s="586"/>
      <c r="C21" s="586"/>
      <c r="D21" s="1" t="s">
        <v>43</v>
      </c>
      <c r="E21" s="3" t="s">
        <v>10</v>
      </c>
      <c r="F21" s="8">
        <v>1900</v>
      </c>
      <c r="G21" s="26">
        <v>2413</v>
      </c>
    </row>
    <row r="22" spans="2:7" ht="22.25" customHeight="1" thickBot="1">
      <c r="B22" s="587"/>
      <c r="C22" s="587"/>
      <c r="D22" s="19" t="s">
        <v>44</v>
      </c>
      <c r="E22" s="16" t="s">
        <v>10</v>
      </c>
      <c r="F22" s="17">
        <v>600</v>
      </c>
      <c r="G22" s="18">
        <v>762</v>
      </c>
    </row>
    <row r="23" spans="2:7" ht="24" customHeight="1" thickTop="1" thickBot="1">
      <c r="B23" s="84"/>
      <c r="C23" s="84" t="s">
        <v>46</v>
      </c>
      <c r="D23" s="29" t="s">
        <v>47</v>
      </c>
      <c r="E23" s="30" t="s">
        <v>10</v>
      </c>
      <c r="F23" s="31">
        <v>74900</v>
      </c>
      <c r="G23" s="32">
        <v>95123</v>
      </c>
    </row>
    <row r="24" spans="2:7" ht="17" thickTop="1" thickBot="1">
      <c r="B24" s="585"/>
      <c r="C24" s="585" t="s">
        <v>49</v>
      </c>
      <c r="D24" s="25" t="s">
        <v>50</v>
      </c>
      <c r="E24" s="12" t="s">
        <v>10</v>
      </c>
      <c r="F24" s="13">
        <v>96300</v>
      </c>
      <c r="G24" s="14">
        <v>122301</v>
      </c>
    </row>
    <row r="25" spans="2:7" ht="22.5" customHeight="1" thickBot="1">
      <c r="B25" s="586"/>
      <c r="C25" s="586"/>
      <c r="D25" s="15" t="s">
        <v>51</v>
      </c>
      <c r="E25" s="16" t="s">
        <v>19</v>
      </c>
      <c r="F25" s="17">
        <v>374500</v>
      </c>
      <c r="G25" s="18">
        <v>475615</v>
      </c>
    </row>
    <row r="26" spans="2:7" ht="22.5" customHeight="1" thickTop="1" thickBot="1">
      <c r="B26" s="585"/>
      <c r="C26" s="585" t="s">
        <v>53</v>
      </c>
      <c r="D26" s="25" t="s">
        <v>54</v>
      </c>
      <c r="E26" s="12" t="s">
        <v>10</v>
      </c>
      <c r="F26" s="13">
        <v>21800</v>
      </c>
      <c r="G26" s="14">
        <v>27686</v>
      </c>
    </row>
    <row r="27" spans="2:7" ht="16" thickBot="1">
      <c r="B27" s="586"/>
      <c r="C27" s="586"/>
      <c r="D27" s="6" t="s">
        <v>55</v>
      </c>
      <c r="E27" s="3" t="s">
        <v>10</v>
      </c>
      <c r="F27" s="8">
        <v>109100</v>
      </c>
      <c r="G27" s="26">
        <v>138557</v>
      </c>
    </row>
    <row r="28" spans="2:7" ht="24.75" customHeight="1" thickBot="1">
      <c r="B28" s="586"/>
      <c r="C28" s="586"/>
      <c r="D28" s="6" t="s">
        <v>56</v>
      </c>
      <c r="E28" s="3" t="s">
        <v>35</v>
      </c>
      <c r="F28" s="8">
        <v>1039400</v>
      </c>
      <c r="G28" s="26">
        <v>1320038</v>
      </c>
    </row>
    <row r="29" spans="2:7" ht="25.25" customHeight="1" thickBot="1">
      <c r="B29" s="586"/>
      <c r="C29" s="586"/>
      <c r="D29" s="27" t="s">
        <v>57</v>
      </c>
      <c r="E29" s="2" t="s">
        <v>8</v>
      </c>
      <c r="F29" s="28">
        <v>14400</v>
      </c>
      <c r="G29" s="33">
        <v>18288</v>
      </c>
    </row>
    <row r="30" spans="2:7" ht="32.25" customHeight="1" thickTop="1" thickBot="1">
      <c r="B30" s="585"/>
      <c r="C30" s="585" t="s">
        <v>59</v>
      </c>
      <c r="D30" s="36" t="s">
        <v>60</v>
      </c>
      <c r="E30" s="37" t="s">
        <v>8</v>
      </c>
      <c r="F30" s="38">
        <v>24800</v>
      </c>
      <c r="G30" s="34">
        <v>31496</v>
      </c>
    </row>
    <row r="31" spans="2:7" ht="28.25" customHeight="1" thickBot="1">
      <c r="B31" s="586"/>
      <c r="C31" s="586"/>
      <c r="D31" s="39" t="s">
        <v>61</v>
      </c>
      <c r="E31" s="40" t="s">
        <v>35</v>
      </c>
      <c r="F31" s="41">
        <v>1502400</v>
      </c>
      <c r="G31" s="35">
        <v>1908048</v>
      </c>
    </row>
    <row r="32" spans="2:7" ht="26" customHeight="1" thickTop="1" thickBot="1">
      <c r="B32" s="585"/>
      <c r="C32" s="585" t="s">
        <v>63</v>
      </c>
      <c r="D32" s="36" t="s">
        <v>64</v>
      </c>
      <c r="E32" s="37" t="s">
        <v>8</v>
      </c>
      <c r="F32" s="38">
        <v>20700</v>
      </c>
      <c r="G32" s="34">
        <v>26289</v>
      </c>
    </row>
    <row r="33" spans="2:7" ht="28.25" customHeight="1" thickBot="1">
      <c r="B33" s="587"/>
      <c r="C33" s="587"/>
      <c r="D33" s="39" t="s">
        <v>65</v>
      </c>
      <c r="E33" s="40" t="s">
        <v>35</v>
      </c>
      <c r="F33" s="41">
        <v>751200</v>
      </c>
      <c r="G33" s="35">
        <v>954024</v>
      </c>
    </row>
    <row r="34" spans="2:7" ht="33.5" customHeight="1" thickTop="1" thickBot="1">
      <c r="B34" s="84"/>
      <c r="C34" s="84" t="s">
        <v>67</v>
      </c>
      <c r="D34" s="43" t="s">
        <v>68</v>
      </c>
      <c r="E34" s="44" t="s">
        <v>10</v>
      </c>
      <c r="F34" s="45">
        <v>3200</v>
      </c>
      <c r="G34" s="46">
        <v>4064</v>
      </c>
    </row>
    <row r="35" spans="2:7" ht="29.25" customHeight="1" thickTop="1" thickBot="1">
      <c r="B35" s="591"/>
      <c r="C35" s="591" t="s">
        <v>85</v>
      </c>
      <c r="D35" s="36" t="s">
        <v>70</v>
      </c>
      <c r="E35" s="47" t="s">
        <v>10</v>
      </c>
      <c r="F35" s="48">
        <v>19200</v>
      </c>
      <c r="G35" s="49">
        <v>24384</v>
      </c>
    </row>
    <row r="36" spans="2:7" ht="29.25" customHeight="1" thickBot="1">
      <c r="B36" s="592"/>
      <c r="C36" s="592"/>
      <c r="D36" s="85" t="s">
        <v>71</v>
      </c>
      <c r="E36" s="50" t="s">
        <v>10</v>
      </c>
      <c r="F36" s="51">
        <v>3000</v>
      </c>
      <c r="G36" s="52">
        <v>3810</v>
      </c>
    </row>
    <row r="37" spans="2:7" ht="16" thickTop="1"/>
    <row r="38" spans="2:7">
      <c r="B38" s="596" t="s">
        <v>138</v>
      </c>
      <c r="C38" s="596"/>
      <c r="D38" s="596"/>
      <c r="E38" s="596"/>
      <c r="F38" s="596"/>
      <c r="G38" s="596"/>
    </row>
    <row r="39" spans="2:7">
      <c r="B39" s="596"/>
      <c r="C39" s="596"/>
      <c r="D39" s="596"/>
      <c r="E39" s="596"/>
      <c r="F39" s="596"/>
      <c r="G39" s="596"/>
    </row>
  </sheetData>
  <mergeCells count="24">
    <mergeCell ref="B30:B31"/>
    <mergeCell ref="B32:B33"/>
    <mergeCell ref="B35:B36"/>
    <mergeCell ref="B1:G1"/>
    <mergeCell ref="B38:G39"/>
    <mergeCell ref="B4:B6"/>
    <mergeCell ref="B7:B8"/>
    <mergeCell ref="B9:B10"/>
    <mergeCell ref="B13:B14"/>
    <mergeCell ref="B15:B18"/>
    <mergeCell ref="B19:B22"/>
    <mergeCell ref="B24:B25"/>
    <mergeCell ref="B26:B29"/>
    <mergeCell ref="C35:C36"/>
    <mergeCell ref="C15:C18"/>
    <mergeCell ref="C19:C22"/>
    <mergeCell ref="C24:C25"/>
    <mergeCell ref="C26:C29"/>
    <mergeCell ref="C30:C31"/>
    <mergeCell ref="C32:C33"/>
    <mergeCell ref="C4:C6"/>
    <mergeCell ref="C7:C8"/>
    <mergeCell ref="C9:C10"/>
    <mergeCell ref="C13:C14"/>
  </mergeCells>
  <pageMargins left="0.7" right="0.7" top="0.75" bottom="0.75" header="0.3" footer="0.3"/>
  <pageSetup paperSize="9" scale="67" orientation="portrait" r:id="rId1"/>
  <drawing r:id="rId2"/>
  <legacyDrawing r:id="rId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19FA89-7826-4A6B-A8C5-3F6CD4EA15C6}">
  <dimension ref="A1:D7"/>
  <sheetViews>
    <sheetView workbookViewId="0">
      <selection activeCell="C6" sqref="C6"/>
    </sheetView>
  </sheetViews>
  <sheetFormatPr baseColWidth="10" defaultColWidth="8.83203125" defaultRowHeight="15"/>
  <cols>
    <col min="1" max="1" width="12.33203125" customWidth="1"/>
    <col min="4" max="4" width="11.83203125" customWidth="1"/>
  </cols>
  <sheetData>
    <row r="1" spans="1:4">
      <c r="A1" t="s">
        <v>81</v>
      </c>
      <c r="D1" s="5" t="s">
        <v>81</v>
      </c>
    </row>
    <row r="2" spans="1:4">
      <c r="A2" t="s">
        <v>80</v>
      </c>
      <c r="D2" s="5" t="s">
        <v>84</v>
      </c>
    </row>
    <row r="7" spans="1:4" ht="100.5" customHeight="1">
      <c r="A7" s="58" t="s">
        <v>151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AF5241-FBB4-4270-AE5D-211F823EF074}">
  <sheetPr>
    <pageSetUpPr fitToPage="1"/>
  </sheetPr>
  <dimension ref="B1:G51"/>
  <sheetViews>
    <sheetView zoomScaleNormal="100" workbookViewId="0">
      <selection activeCell="I3" sqref="I3"/>
    </sheetView>
  </sheetViews>
  <sheetFormatPr baseColWidth="10" defaultColWidth="8.83203125" defaultRowHeight="15"/>
  <cols>
    <col min="1" max="1" width="1.5" customWidth="1"/>
    <col min="2" max="2" width="10.1640625" customWidth="1"/>
    <col min="3" max="3" width="37.33203125" customWidth="1"/>
    <col min="4" max="4" width="36" customWidth="1"/>
    <col min="5" max="5" width="17.5" customWidth="1"/>
    <col min="6" max="6" width="12.1640625" customWidth="1"/>
    <col min="7" max="7" width="12.6640625" customWidth="1"/>
  </cols>
  <sheetData>
    <row r="1" spans="2:7" ht="48" customHeight="1" thickTop="1" thickBot="1">
      <c r="B1" s="600" t="s">
        <v>148</v>
      </c>
      <c r="C1" s="601"/>
      <c r="D1" s="601"/>
      <c r="E1" s="601"/>
      <c r="F1" s="601"/>
      <c r="G1" s="602"/>
    </row>
    <row r="2" spans="2:7" ht="17" thickTop="1" thickBot="1"/>
    <row r="3" spans="2:7" ht="41" customHeight="1" thickTop="1" thickBot="1">
      <c r="B3" s="86" t="s">
        <v>135</v>
      </c>
      <c r="C3" s="90" t="s">
        <v>131</v>
      </c>
      <c r="D3" s="87" t="s">
        <v>132</v>
      </c>
      <c r="E3" s="88" t="s">
        <v>74</v>
      </c>
      <c r="F3" s="90" t="s">
        <v>134</v>
      </c>
      <c r="G3" s="90" t="s">
        <v>133</v>
      </c>
    </row>
    <row r="4" spans="2:7" ht="27" customHeight="1" thickTop="1">
      <c r="B4" s="597" t="s">
        <v>136</v>
      </c>
      <c r="C4" s="588" t="s">
        <v>6</v>
      </c>
      <c r="D4" s="91" t="s">
        <v>7</v>
      </c>
      <c r="E4" s="92" t="s">
        <v>8</v>
      </c>
      <c r="F4" s="93">
        <v>5900</v>
      </c>
      <c r="G4" s="94">
        <v>7493</v>
      </c>
    </row>
    <row r="5" spans="2:7" ht="27" customHeight="1">
      <c r="B5" s="598"/>
      <c r="C5" s="589"/>
      <c r="D5" s="95" t="s">
        <v>9</v>
      </c>
      <c r="E5" s="96" t="s">
        <v>10</v>
      </c>
      <c r="F5" s="97">
        <v>200</v>
      </c>
      <c r="G5" s="98">
        <v>254</v>
      </c>
    </row>
    <row r="6" spans="2:7" ht="27" customHeight="1" thickBot="1">
      <c r="B6" s="599"/>
      <c r="C6" s="590"/>
      <c r="D6" s="99" t="s">
        <v>11</v>
      </c>
      <c r="E6" s="100" t="s">
        <v>10</v>
      </c>
      <c r="F6" s="101">
        <v>127300</v>
      </c>
      <c r="G6" s="102">
        <v>161671</v>
      </c>
    </row>
    <row r="7" spans="2:7" ht="27" customHeight="1" thickTop="1" thickBot="1">
      <c r="B7" s="597" t="s">
        <v>136</v>
      </c>
      <c r="C7" s="588" t="s">
        <v>13</v>
      </c>
      <c r="D7" s="103" t="s">
        <v>14</v>
      </c>
      <c r="E7" s="104" t="s">
        <v>8</v>
      </c>
      <c r="F7" s="105">
        <v>5300</v>
      </c>
      <c r="G7" s="106">
        <v>6731</v>
      </c>
    </row>
    <row r="8" spans="2:7" ht="27" customHeight="1" thickBot="1">
      <c r="B8" s="599"/>
      <c r="C8" s="590"/>
      <c r="D8" s="99" t="s">
        <v>15</v>
      </c>
      <c r="E8" s="100" t="s">
        <v>10</v>
      </c>
      <c r="F8" s="101">
        <v>53000</v>
      </c>
      <c r="G8" s="102">
        <v>67310</v>
      </c>
    </row>
    <row r="9" spans="2:7" ht="27" customHeight="1" thickTop="1" thickBot="1">
      <c r="B9" s="585"/>
      <c r="C9" s="585" t="s">
        <v>17</v>
      </c>
      <c r="D9" s="11" t="s">
        <v>18</v>
      </c>
      <c r="E9" s="12" t="s">
        <v>19</v>
      </c>
      <c r="F9" s="13">
        <v>96800</v>
      </c>
      <c r="G9" s="14">
        <v>122936</v>
      </c>
    </row>
    <row r="10" spans="2:7" ht="27" customHeight="1" thickBot="1">
      <c r="B10" s="587"/>
      <c r="C10" s="587"/>
      <c r="D10" s="15" t="s">
        <v>20</v>
      </c>
      <c r="E10" s="16" t="s">
        <v>19</v>
      </c>
      <c r="F10" s="17">
        <v>139100</v>
      </c>
      <c r="G10" s="18">
        <v>176657</v>
      </c>
    </row>
    <row r="11" spans="2:7" ht="27" customHeight="1" thickTop="1" thickBot="1">
      <c r="B11" s="113" t="s">
        <v>136</v>
      </c>
      <c r="C11" s="107" t="s">
        <v>22</v>
      </c>
      <c r="D11" s="108" t="s">
        <v>22</v>
      </c>
      <c r="E11" s="109" t="s">
        <v>23</v>
      </c>
      <c r="F11" s="110">
        <v>9500</v>
      </c>
      <c r="G11" s="111">
        <v>12065</v>
      </c>
    </row>
    <row r="12" spans="2:7" ht="33.75" customHeight="1" thickTop="1" thickBot="1">
      <c r="B12" s="84"/>
      <c r="C12" s="84" t="s">
        <v>25</v>
      </c>
      <c r="D12" s="20" t="s">
        <v>26</v>
      </c>
      <c r="E12" s="21" t="s">
        <v>19</v>
      </c>
      <c r="F12" s="22">
        <v>224700</v>
      </c>
      <c r="G12" s="23">
        <v>285369</v>
      </c>
    </row>
    <row r="13" spans="2:7" ht="27" customHeight="1" thickTop="1" thickBot="1">
      <c r="B13" s="476"/>
      <c r="C13" s="476" t="s">
        <v>28</v>
      </c>
      <c r="D13" s="11" t="s">
        <v>29</v>
      </c>
      <c r="E13" s="59" t="s">
        <v>30</v>
      </c>
      <c r="F13" s="13">
        <v>1400</v>
      </c>
      <c r="G13" s="14">
        <v>1778</v>
      </c>
    </row>
    <row r="14" spans="2:7" ht="24.75" customHeight="1" thickBot="1">
      <c r="B14" s="479"/>
      <c r="C14" s="479"/>
      <c r="D14" s="19" t="s">
        <v>31</v>
      </c>
      <c r="E14" s="60" t="s">
        <v>30</v>
      </c>
      <c r="F14" s="17">
        <v>3000</v>
      </c>
      <c r="G14" s="18">
        <v>3810</v>
      </c>
    </row>
    <row r="15" spans="2:7" ht="30.75" customHeight="1" thickTop="1" thickBot="1">
      <c r="B15" s="585"/>
      <c r="C15" s="585" t="s">
        <v>33</v>
      </c>
      <c r="D15" s="25" t="s">
        <v>34</v>
      </c>
      <c r="E15" s="12" t="s">
        <v>35</v>
      </c>
      <c r="F15" s="13">
        <v>524300</v>
      </c>
      <c r="G15" s="14">
        <v>665861</v>
      </c>
    </row>
    <row r="16" spans="2:7" ht="31.5" customHeight="1" thickBot="1">
      <c r="B16" s="586"/>
      <c r="C16" s="586"/>
      <c r="D16" s="6" t="s">
        <v>36</v>
      </c>
      <c r="E16" s="3" t="s">
        <v>35</v>
      </c>
      <c r="F16" s="8">
        <v>257900</v>
      </c>
      <c r="G16" s="26">
        <v>327533</v>
      </c>
    </row>
    <row r="17" spans="2:7" ht="23.75" customHeight="1" thickBot="1">
      <c r="B17" s="586"/>
      <c r="C17" s="586"/>
      <c r="D17" s="6" t="s">
        <v>37</v>
      </c>
      <c r="E17" s="3" t="s">
        <v>19</v>
      </c>
      <c r="F17" s="8">
        <v>294300</v>
      </c>
      <c r="G17" s="26">
        <v>373761</v>
      </c>
    </row>
    <row r="18" spans="2:7" ht="23.75" customHeight="1" thickBot="1">
      <c r="B18" s="587"/>
      <c r="C18" s="587"/>
      <c r="D18" s="15" t="s">
        <v>38</v>
      </c>
      <c r="E18" s="16" t="s">
        <v>8</v>
      </c>
      <c r="F18" s="17">
        <v>5200</v>
      </c>
      <c r="G18" s="18">
        <v>6604</v>
      </c>
    </row>
    <row r="19" spans="2:7" ht="21" customHeight="1" thickTop="1" thickBot="1">
      <c r="B19" s="585"/>
      <c r="C19" s="585" t="s">
        <v>40</v>
      </c>
      <c r="D19" s="25" t="s">
        <v>41</v>
      </c>
      <c r="E19" s="12" t="s">
        <v>35</v>
      </c>
      <c r="F19" s="13">
        <v>345100</v>
      </c>
      <c r="G19" s="14">
        <v>438277</v>
      </c>
    </row>
    <row r="20" spans="2:7" ht="20" customHeight="1" thickBot="1">
      <c r="B20" s="586"/>
      <c r="C20" s="586"/>
      <c r="D20" s="1" t="s">
        <v>42</v>
      </c>
      <c r="E20" s="3" t="s">
        <v>10</v>
      </c>
      <c r="F20" s="8">
        <v>10100</v>
      </c>
      <c r="G20" s="26">
        <v>12827</v>
      </c>
    </row>
    <row r="21" spans="2:7" ht="20.75" customHeight="1" thickBot="1">
      <c r="B21" s="586"/>
      <c r="C21" s="586"/>
      <c r="D21" s="1" t="s">
        <v>43</v>
      </c>
      <c r="E21" s="3" t="s">
        <v>10</v>
      </c>
      <c r="F21" s="8">
        <v>1900</v>
      </c>
      <c r="G21" s="26">
        <v>2413</v>
      </c>
    </row>
    <row r="22" spans="2:7" ht="22.25" customHeight="1" thickBot="1">
      <c r="B22" s="587"/>
      <c r="C22" s="587"/>
      <c r="D22" s="19" t="s">
        <v>44</v>
      </c>
      <c r="E22" s="16" t="s">
        <v>10</v>
      </c>
      <c r="F22" s="17">
        <v>600</v>
      </c>
      <c r="G22" s="18">
        <v>762</v>
      </c>
    </row>
    <row r="23" spans="2:7" ht="24" customHeight="1" thickTop="1" thickBot="1">
      <c r="B23" s="84"/>
      <c r="C23" s="84" t="s">
        <v>46</v>
      </c>
      <c r="D23" s="29" t="s">
        <v>47</v>
      </c>
      <c r="E23" s="30" t="s">
        <v>10</v>
      </c>
      <c r="F23" s="31">
        <v>74900</v>
      </c>
      <c r="G23" s="32">
        <v>95123</v>
      </c>
    </row>
    <row r="24" spans="2:7" ht="23" customHeight="1" thickTop="1" thickBot="1">
      <c r="B24" s="585"/>
      <c r="C24" s="585" t="s">
        <v>49</v>
      </c>
      <c r="D24" s="25" t="s">
        <v>50</v>
      </c>
      <c r="E24" s="12" t="s">
        <v>10</v>
      </c>
      <c r="F24" s="13">
        <v>96300</v>
      </c>
      <c r="G24" s="14">
        <v>122301</v>
      </c>
    </row>
    <row r="25" spans="2:7" ht="22.5" customHeight="1" thickBot="1">
      <c r="B25" s="586"/>
      <c r="C25" s="586"/>
      <c r="D25" s="15" t="s">
        <v>51</v>
      </c>
      <c r="E25" s="16" t="s">
        <v>19</v>
      </c>
      <c r="F25" s="17">
        <v>374500</v>
      </c>
      <c r="G25" s="18">
        <v>475615</v>
      </c>
    </row>
    <row r="26" spans="2:7" ht="24" customHeight="1" thickTop="1" thickBot="1">
      <c r="B26" s="585"/>
      <c r="C26" s="585" t="s">
        <v>53</v>
      </c>
      <c r="D26" s="25" t="s">
        <v>54</v>
      </c>
      <c r="E26" s="12" t="s">
        <v>10</v>
      </c>
      <c r="F26" s="13">
        <v>21800</v>
      </c>
      <c r="G26" s="14">
        <v>27686</v>
      </c>
    </row>
    <row r="27" spans="2:7" ht="23.25" customHeight="1" thickBot="1">
      <c r="B27" s="586"/>
      <c r="C27" s="586"/>
      <c r="D27" s="6" t="s">
        <v>55</v>
      </c>
      <c r="E27" s="3" t="s">
        <v>10</v>
      </c>
      <c r="F27" s="8">
        <v>109100</v>
      </c>
      <c r="G27" s="26">
        <v>138557</v>
      </c>
    </row>
    <row r="28" spans="2:7" ht="24.75" customHeight="1" thickBot="1">
      <c r="B28" s="586"/>
      <c r="C28" s="586"/>
      <c r="D28" s="6" t="s">
        <v>56</v>
      </c>
      <c r="E28" s="3" t="s">
        <v>35</v>
      </c>
      <c r="F28" s="8">
        <v>1039400</v>
      </c>
      <c r="G28" s="26">
        <v>1320038</v>
      </c>
    </row>
    <row r="29" spans="2:7" ht="25.25" customHeight="1" thickBot="1">
      <c r="B29" s="586"/>
      <c r="C29" s="586"/>
      <c r="D29" s="27" t="s">
        <v>57</v>
      </c>
      <c r="E29" s="2" t="s">
        <v>8</v>
      </c>
      <c r="F29" s="28">
        <v>14400</v>
      </c>
      <c r="G29" s="33">
        <v>18288</v>
      </c>
    </row>
    <row r="30" spans="2:7" ht="32.25" customHeight="1" thickTop="1" thickBot="1">
      <c r="B30" s="585"/>
      <c r="C30" s="585" t="s">
        <v>59</v>
      </c>
      <c r="D30" s="36" t="s">
        <v>60</v>
      </c>
      <c r="E30" s="37" t="s">
        <v>8</v>
      </c>
      <c r="F30" s="38">
        <v>24800</v>
      </c>
      <c r="G30" s="34">
        <v>31496</v>
      </c>
    </row>
    <row r="31" spans="2:7" ht="33.75" customHeight="1" thickBot="1">
      <c r="B31" s="586"/>
      <c r="C31" s="586"/>
      <c r="D31" s="39" t="s">
        <v>61</v>
      </c>
      <c r="E31" s="40" t="s">
        <v>35</v>
      </c>
      <c r="F31" s="41">
        <v>1502400</v>
      </c>
      <c r="G31" s="35">
        <v>1908048</v>
      </c>
    </row>
    <row r="32" spans="2:7" ht="26" customHeight="1" thickTop="1" thickBot="1">
      <c r="B32" s="585"/>
      <c r="C32" s="585" t="s">
        <v>63</v>
      </c>
      <c r="D32" s="36" t="s">
        <v>64</v>
      </c>
      <c r="E32" s="37" t="s">
        <v>8</v>
      </c>
      <c r="F32" s="38">
        <v>20700</v>
      </c>
      <c r="G32" s="34">
        <v>26289</v>
      </c>
    </row>
    <row r="33" spans="2:7" ht="28.25" customHeight="1" thickBot="1">
      <c r="B33" s="587"/>
      <c r="C33" s="587"/>
      <c r="D33" s="39" t="s">
        <v>65</v>
      </c>
      <c r="E33" s="40" t="s">
        <v>35</v>
      </c>
      <c r="F33" s="41">
        <v>751200</v>
      </c>
      <c r="G33" s="35">
        <v>954024</v>
      </c>
    </row>
    <row r="34" spans="2:7" ht="33.5" customHeight="1" thickTop="1" thickBot="1">
      <c r="B34" s="84"/>
      <c r="C34" s="84" t="s">
        <v>67</v>
      </c>
      <c r="D34" s="43" t="s">
        <v>68</v>
      </c>
      <c r="E34" s="44" t="s">
        <v>10</v>
      </c>
      <c r="F34" s="45">
        <v>3200</v>
      </c>
      <c r="G34" s="46">
        <v>4064</v>
      </c>
    </row>
    <row r="35" spans="2:7" ht="29.25" customHeight="1" thickTop="1" thickBot="1">
      <c r="B35" s="591"/>
      <c r="C35" s="591" t="s">
        <v>85</v>
      </c>
      <c r="D35" s="36" t="s">
        <v>70</v>
      </c>
      <c r="E35" s="47" t="s">
        <v>10</v>
      </c>
      <c r="F35" s="48">
        <v>19200</v>
      </c>
      <c r="G35" s="49">
        <v>24384</v>
      </c>
    </row>
    <row r="36" spans="2:7" ht="29.25" customHeight="1" thickBot="1">
      <c r="B36" s="592"/>
      <c r="C36" s="592"/>
      <c r="D36" s="85" t="s">
        <v>71</v>
      </c>
      <c r="E36" s="50" t="s">
        <v>10</v>
      </c>
      <c r="F36" s="51">
        <v>3000</v>
      </c>
      <c r="G36" s="52">
        <v>3810</v>
      </c>
    </row>
    <row r="37" spans="2:7" ht="16" thickTop="1"/>
    <row r="38" spans="2:7">
      <c r="B38" s="596" t="s">
        <v>138</v>
      </c>
      <c r="C38" s="596"/>
      <c r="D38" s="596"/>
      <c r="E38" s="596"/>
      <c r="F38" s="596"/>
      <c r="G38" s="596"/>
    </row>
    <row r="39" spans="2:7">
      <c r="B39" s="596"/>
      <c r="C39" s="596"/>
      <c r="D39" s="596"/>
      <c r="E39" s="596"/>
      <c r="F39" s="596"/>
      <c r="G39" s="596"/>
    </row>
    <row r="42" spans="2:7">
      <c r="B42" s="603" t="s">
        <v>139</v>
      </c>
      <c r="C42" s="603"/>
      <c r="D42" s="603"/>
      <c r="E42" s="603"/>
      <c r="F42" s="603"/>
      <c r="G42" s="603"/>
    </row>
    <row r="43" spans="2:7">
      <c r="B43" s="112" t="s">
        <v>141</v>
      </c>
      <c r="D43" s="112" t="s">
        <v>144</v>
      </c>
    </row>
    <row r="44" spans="2:7">
      <c r="B44" t="s">
        <v>7</v>
      </c>
      <c r="D44" s="114" t="s">
        <v>140</v>
      </c>
    </row>
    <row r="45" spans="2:7">
      <c r="B45" t="s">
        <v>14</v>
      </c>
      <c r="D45" s="114" t="s">
        <v>143</v>
      </c>
    </row>
    <row r="46" spans="2:7">
      <c r="B46" t="s">
        <v>29</v>
      </c>
      <c r="D46" s="114" t="s">
        <v>142</v>
      </c>
    </row>
    <row r="47" spans="2:7">
      <c r="B47" t="s">
        <v>31</v>
      </c>
      <c r="D47" s="115" t="s">
        <v>145</v>
      </c>
    </row>
    <row r="48" spans="2:7">
      <c r="D48" s="114"/>
    </row>
    <row r="49" spans="2:4">
      <c r="B49" s="112" t="s">
        <v>147</v>
      </c>
      <c r="D49" s="114"/>
    </row>
    <row r="50" spans="2:4">
      <c r="D50" s="114"/>
    </row>
    <row r="51" spans="2:4">
      <c r="D51" s="114"/>
    </row>
  </sheetData>
  <mergeCells count="25">
    <mergeCell ref="B42:G42"/>
    <mergeCell ref="B24:B25"/>
    <mergeCell ref="C24:C25"/>
    <mergeCell ref="B26:B29"/>
    <mergeCell ref="C26:C29"/>
    <mergeCell ref="B30:B31"/>
    <mergeCell ref="C30:C31"/>
    <mergeCell ref="B32:B33"/>
    <mergeCell ref="C32:C33"/>
    <mergeCell ref="B35:B36"/>
    <mergeCell ref="C35:C36"/>
    <mergeCell ref="B38:G39"/>
    <mergeCell ref="B13:B14"/>
    <mergeCell ref="C13:C14"/>
    <mergeCell ref="B15:B18"/>
    <mergeCell ref="C15:C18"/>
    <mergeCell ref="B19:B22"/>
    <mergeCell ref="C19:C22"/>
    <mergeCell ref="B9:B10"/>
    <mergeCell ref="C9:C10"/>
    <mergeCell ref="B1:G1"/>
    <mergeCell ref="B4:B6"/>
    <mergeCell ref="C4:C6"/>
    <mergeCell ref="B7:B8"/>
    <mergeCell ref="C7:C8"/>
  </mergeCells>
  <pageMargins left="0.7" right="0.7" top="0.75" bottom="0.75" header="0.3" footer="0.3"/>
  <pageSetup paperSize="9" scale="58" orientation="portrait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4BB177-893E-4262-9E0A-B3F05619CD1A}">
  <sheetPr>
    <tabColor rgb="FFFF0000"/>
  </sheetPr>
  <dimension ref="A1:X45"/>
  <sheetViews>
    <sheetView tabSelected="1" workbookViewId="0">
      <selection activeCell="K6" sqref="K6:K10"/>
    </sheetView>
  </sheetViews>
  <sheetFormatPr baseColWidth="10" defaultColWidth="8.83203125" defaultRowHeight="15"/>
  <cols>
    <col min="1" max="1" width="2.33203125" customWidth="1"/>
    <col min="5" max="5" width="3.33203125" customWidth="1"/>
    <col min="6" max="6" width="12.33203125" customWidth="1"/>
    <col min="7" max="7" width="1.33203125" customWidth="1"/>
    <col min="8" max="8" width="7.5" bestFit="1" customWidth="1"/>
    <col min="9" max="10" width="1.33203125" customWidth="1"/>
    <col min="11" max="11" width="42.83203125" customWidth="1"/>
    <col min="12" max="12" width="2.5" customWidth="1"/>
    <col min="13" max="14" width="2" customWidth="1"/>
    <col min="15" max="15" width="10.83203125" customWidth="1"/>
    <col min="20" max="20" width="4.33203125" customWidth="1"/>
    <col min="22" max="22" width="1.33203125" customWidth="1"/>
  </cols>
  <sheetData>
    <row r="1" spans="1:13" ht="14.75" customHeight="1">
      <c r="A1" s="208"/>
      <c r="B1" s="208"/>
      <c r="C1" s="208"/>
      <c r="D1" s="208"/>
      <c r="E1" s="208"/>
      <c r="F1" s="208"/>
      <c r="G1" s="208"/>
      <c r="H1" s="208"/>
      <c r="I1" s="208"/>
      <c r="J1" s="208"/>
      <c r="K1" s="208"/>
      <c r="L1" s="208"/>
    </row>
    <row r="2" spans="1:13">
      <c r="A2" s="208"/>
      <c r="B2" s="221" t="s">
        <v>199</v>
      </c>
      <c r="C2" s="202"/>
      <c r="D2" s="202"/>
      <c r="E2" s="202"/>
      <c r="F2" s="202"/>
      <c r="G2" s="202"/>
      <c r="H2" s="202"/>
      <c r="I2" s="202"/>
      <c r="J2" s="202"/>
      <c r="K2" s="180" t="s">
        <v>176</v>
      </c>
      <c r="L2" s="208"/>
    </row>
    <row r="3" spans="1:13" ht="16" thickBot="1">
      <c r="A3" s="208"/>
      <c r="L3" s="208"/>
    </row>
    <row r="4" spans="1:13" ht="16" thickBot="1">
      <c r="A4" s="208"/>
      <c r="B4" t="s">
        <v>173</v>
      </c>
      <c r="F4" s="156">
        <f>Hardver!G13</f>
        <v>1729800</v>
      </c>
      <c r="G4">
        <f>F4/F14</f>
        <v>0.15126980322245431</v>
      </c>
      <c r="K4" s="187" t="str">
        <f>CONCATENATE("Projekt összköltségének ",TEXT((F4/F14)*100,"0,00")," %-a")</f>
        <v>Projekt összköltségének 15,13 %-a</v>
      </c>
      <c r="L4" s="208"/>
      <c r="M4" s="158"/>
    </row>
    <row r="5" spans="1:13" ht="7.5" customHeight="1" thickBot="1">
      <c r="A5" s="208"/>
      <c r="K5" s="5"/>
      <c r="L5" s="208"/>
    </row>
    <row r="6" spans="1:13" ht="16" thickBot="1">
      <c r="A6" s="208"/>
      <c r="B6" t="s">
        <v>172</v>
      </c>
      <c r="F6" s="156">
        <f>Szoftver!V41</f>
        <v>5039400</v>
      </c>
      <c r="K6" s="604">
        <f>F6+F8+F10</f>
        <v>8957300</v>
      </c>
      <c r="L6" s="208"/>
    </row>
    <row r="7" spans="1:13" ht="8" customHeight="1" thickBot="1">
      <c r="A7" s="208"/>
      <c r="K7" s="605"/>
      <c r="L7" s="208"/>
    </row>
    <row r="8" spans="1:13" ht="16" thickBot="1">
      <c r="A8" s="208"/>
      <c r="B8" t="s">
        <v>182</v>
      </c>
      <c r="F8" s="156">
        <f>Szoftver!V43</f>
        <v>374500</v>
      </c>
      <c r="K8" s="605"/>
      <c r="L8" s="208"/>
    </row>
    <row r="9" spans="1:13" ht="7.5" customHeight="1" thickBot="1">
      <c r="A9" s="208"/>
      <c r="K9" s="605"/>
      <c r="L9" s="208"/>
    </row>
    <row r="10" spans="1:13" ht="16" thickBot="1">
      <c r="A10" s="208"/>
      <c r="B10" t="s">
        <v>174</v>
      </c>
      <c r="F10" s="156">
        <f>Szoftver!V42</f>
        <v>3543400</v>
      </c>
      <c r="K10" s="606"/>
      <c r="L10" s="208"/>
    </row>
    <row r="11" spans="1:13" ht="8" customHeight="1" thickBot="1">
      <c r="A11" s="208"/>
      <c r="L11" s="208"/>
    </row>
    <row r="12" spans="1:13" ht="16" thickBot="1">
      <c r="A12" s="208"/>
      <c r="B12" t="s">
        <v>175</v>
      </c>
      <c r="F12" s="156">
        <f>(F4+F6+F8+F10)*7%</f>
        <v>748097.00000000012</v>
      </c>
      <c r="K12" s="153"/>
      <c r="L12" s="208"/>
    </row>
    <row r="13" spans="1:13" ht="8" customHeight="1" thickBot="1">
      <c r="A13" s="208"/>
      <c r="L13" s="208"/>
    </row>
    <row r="14" spans="1:13" ht="16" thickBot="1">
      <c r="A14" s="208"/>
      <c r="B14" s="112" t="s">
        <v>203</v>
      </c>
      <c r="F14" s="155">
        <f>((F4+F6+F8+F10)*93%)+F12+F12</f>
        <v>11435197</v>
      </c>
      <c r="G14" s="183"/>
      <c r="H14" s="183"/>
      <c r="I14" s="183"/>
      <c r="J14" s="183"/>
      <c r="K14" t="s">
        <v>278</v>
      </c>
      <c r="L14" s="208"/>
    </row>
    <row r="15" spans="1:13" ht="7.5" customHeight="1" thickBot="1">
      <c r="A15" s="208"/>
      <c r="L15" s="208"/>
    </row>
    <row r="16" spans="1:13" ht="16" thickBot="1">
      <c r="A16" s="208"/>
      <c r="B16" t="s">
        <v>202</v>
      </c>
      <c r="F16" s="156">
        <f>F14*10%</f>
        <v>1143519.7</v>
      </c>
      <c r="K16" s="222" t="str">
        <f>IF(F18&gt;12000000,CONCATENATE("+ további ",TEXT(ROUND(F18-12000000,0),"### ### ###")," Ft önerő szükséges"),"Nem szükséges a 10%-ot meghaladó önerő vállalása")</f>
        <v>Nem szükséges a 10%-ot meghaladó önerő vállalása</v>
      </c>
      <c r="L16" s="208"/>
    </row>
    <row r="17" spans="1:24" ht="8" customHeight="1" thickBot="1">
      <c r="A17" s="208"/>
      <c r="L17" s="208"/>
    </row>
    <row r="18" spans="1:24" ht="16" thickBot="1">
      <c r="A18" s="208"/>
      <c r="B18" s="112" t="s">
        <v>204</v>
      </c>
      <c r="F18" s="155">
        <f>F14-F16</f>
        <v>10291677.300000001</v>
      </c>
      <c r="G18" s="183">
        <f>F18/12000000</f>
        <v>0.8576397750000001</v>
      </c>
      <c r="H18" s="183"/>
      <c r="I18" s="183"/>
      <c r="J18" s="183"/>
      <c r="K18" s="184" t="str">
        <f>IF(F18&gt;12000000,"Meghaladja a támogatás mértéke a 12MFt-ot",CONCATENATE(TEXT((G18)*100,"0,00")," %"))</f>
        <v>85,76 %</v>
      </c>
      <c r="L18" s="208"/>
    </row>
    <row r="19" spans="1:24" ht="16.5" customHeight="1">
      <c r="A19" s="208"/>
      <c r="B19" s="208"/>
      <c r="C19" s="208"/>
      <c r="D19" s="208"/>
      <c r="E19" s="208"/>
      <c r="F19" s="208"/>
      <c r="G19" s="208"/>
      <c r="H19" s="208"/>
      <c r="I19" s="208"/>
      <c r="J19" s="208"/>
      <c r="K19" s="208"/>
      <c r="L19" s="208"/>
      <c r="X19" s="163"/>
    </row>
    <row r="20" spans="1:24">
      <c r="O20" s="232"/>
      <c r="P20" s="232"/>
      <c r="Q20" s="232"/>
      <c r="U20" s="232"/>
      <c r="V20" s="232"/>
      <c r="W20" s="232"/>
      <c r="X20" s="163"/>
    </row>
    <row r="21" spans="1:24">
      <c r="B21" s="627" t="s">
        <v>285</v>
      </c>
      <c r="C21" s="627"/>
      <c r="D21" s="627"/>
      <c r="E21" s="627"/>
      <c r="F21" s="627"/>
      <c r="G21" s="627"/>
      <c r="H21" s="627"/>
      <c r="I21" s="627"/>
      <c r="J21" s="627"/>
      <c r="K21" s="627"/>
      <c r="N21" s="227"/>
      <c r="O21" s="610" t="s">
        <v>234</v>
      </c>
      <c r="P21" s="610"/>
      <c r="Q21" s="327"/>
      <c r="R21" s="328" t="s">
        <v>235</v>
      </c>
      <c r="S21" s="329"/>
      <c r="T21" s="330"/>
      <c r="U21" s="637" t="s">
        <v>240</v>
      </c>
      <c r="V21" s="638"/>
      <c r="W21" s="639"/>
      <c r="X21" s="628">
        <f>IF($K$37="Nagyon magas intenzitás",3,IF($K$37="Magas intenzitás",2,IF(K37="Alacsony intenzitás",1,IF(K37="Nagyon alacsony",0,""))))</f>
        <v>1</v>
      </c>
    </row>
    <row r="22" spans="1:24" ht="8" customHeight="1">
      <c r="O22" s="234"/>
      <c r="P22" s="228"/>
      <c r="Q22" s="229"/>
      <c r="R22" s="234"/>
      <c r="S22" s="228"/>
      <c r="T22" s="229"/>
      <c r="U22" s="228"/>
      <c r="V22" s="228"/>
      <c r="W22" s="229"/>
      <c r="X22" s="628"/>
    </row>
    <row r="23" spans="1:24" ht="14.25" customHeight="1">
      <c r="O23" s="611" t="s">
        <v>241</v>
      </c>
      <c r="P23" s="612"/>
      <c r="Q23" s="613"/>
      <c r="R23" s="631" t="s">
        <v>236</v>
      </c>
      <c r="S23" s="632"/>
      <c r="T23" s="633"/>
      <c r="U23" s="640">
        <v>0</v>
      </c>
      <c r="V23" s="158"/>
      <c r="W23" s="642">
        <v>5</v>
      </c>
      <c r="X23" s="626">
        <v>0</v>
      </c>
    </row>
    <row r="24" spans="1:24">
      <c r="O24" s="614"/>
      <c r="P24" s="615"/>
      <c r="Q24" s="616"/>
      <c r="R24" s="634"/>
      <c r="S24" s="635"/>
      <c r="T24" s="636"/>
      <c r="U24" s="641"/>
      <c r="V24" s="236"/>
      <c r="W24" s="643"/>
      <c r="X24" s="626"/>
    </row>
    <row r="25" spans="1:24">
      <c r="B25" s="629" t="s">
        <v>287</v>
      </c>
      <c r="C25" s="629"/>
      <c r="D25" s="629"/>
      <c r="E25" s="629"/>
      <c r="F25" s="629"/>
      <c r="G25" s="629"/>
      <c r="H25" s="629"/>
      <c r="I25" s="629"/>
      <c r="J25" s="629"/>
      <c r="K25" s="629"/>
      <c r="N25" s="227"/>
      <c r="O25" s="617" t="s">
        <v>242</v>
      </c>
      <c r="P25" s="618"/>
      <c r="Q25" s="619"/>
      <c r="R25" s="230" t="s">
        <v>239</v>
      </c>
      <c r="T25" s="227"/>
      <c r="U25" s="158">
        <v>6</v>
      </c>
      <c r="V25" s="158"/>
      <c r="W25" s="239">
        <v>11</v>
      </c>
      <c r="X25" s="267">
        <v>1</v>
      </c>
    </row>
    <row r="26" spans="1:24" ht="14.25" customHeight="1">
      <c r="B26" s="54" t="s">
        <v>288</v>
      </c>
      <c r="H26" s="226" t="e">
        <f>Szoftver!R16*2</f>
        <v>#VALUE!</v>
      </c>
      <c r="K26" s="324" t="s">
        <v>231</v>
      </c>
      <c r="N26" s="227"/>
      <c r="O26" s="612"/>
      <c r="P26" s="612"/>
      <c r="Q26" s="613"/>
      <c r="R26" s="230" t="s">
        <v>238</v>
      </c>
      <c r="T26" s="227"/>
      <c r="U26" s="158">
        <v>12</v>
      </c>
      <c r="V26" s="158"/>
      <c r="W26" s="235">
        <v>17</v>
      </c>
      <c r="X26" s="267">
        <v>2</v>
      </c>
    </row>
    <row r="27" spans="1:24" ht="16" thickBot="1">
      <c r="B27" s="54" t="s">
        <v>230</v>
      </c>
      <c r="H27" s="226">
        <f>Szoftver!R32*2</f>
        <v>2</v>
      </c>
      <c r="K27" s="324" t="s">
        <v>284</v>
      </c>
      <c r="N27" s="227"/>
      <c r="O27" s="615"/>
      <c r="P27" s="615"/>
      <c r="Q27" s="616"/>
      <c r="R27" s="231" t="s">
        <v>237</v>
      </c>
      <c r="S27" s="232"/>
      <c r="T27" s="233"/>
      <c r="U27" s="238">
        <v>18</v>
      </c>
      <c r="V27" s="236"/>
      <c r="W27" s="237">
        <v>23</v>
      </c>
      <c r="X27" s="267">
        <v>3</v>
      </c>
    </row>
    <row r="28" spans="1:24" ht="48.75" customHeight="1">
      <c r="B28" s="607" t="s">
        <v>293</v>
      </c>
      <c r="C28" s="608"/>
      <c r="D28" s="608"/>
      <c r="E28" s="608"/>
      <c r="F28" s="609"/>
      <c r="H28" s="226">
        <f>IF(X21=1,2,"")</f>
        <v>2</v>
      </c>
      <c r="K28" s="325" t="s">
        <v>232</v>
      </c>
      <c r="O28" s="620" t="str">
        <f>CONCATENATE("Egyéb ellenőrzések:",CHAR(10),B44,CHAR(10),B45)</f>
        <v>Egyéb ellenőrzések:
Alkalmazotti IKT képzés elszámolt összege rendben
IKT biztonsági képzés elszámolt összege rendben</v>
      </c>
      <c r="P28" s="621"/>
      <c r="Q28" s="621"/>
      <c r="R28" s="621"/>
      <c r="S28" s="621"/>
      <c r="T28" s="621"/>
      <c r="U28" s="621"/>
      <c r="V28" s="621"/>
      <c r="W28" s="622"/>
      <c r="X28" s="163"/>
    </row>
    <row r="29" spans="1:24" ht="48.75" customHeight="1" thickBot="1">
      <c r="B29" s="644" t="s">
        <v>294</v>
      </c>
      <c r="C29" s="645"/>
      <c r="D29" s="645"/>
      <c r="E29" s="645"/>
      <c r="F29" s="646"/>
      <c r="H29" s="226" t="str">
        <f>IF(X21&gt;1,4,"")</f>
        <v/>
      </c>
      <c r="K29" s="326" t="s">
        <v>243</v>
      </c>
      <c r="O29" s="623"/>
      <c r="P29" s="624"/>
      <c r="Q29" s="624"/>
      <c r="R29" s="624"/>
      <c r="S29" s="624"/>
      <c r="T29" s="624"/>
      <c r="U29" s="624"/>
      <c r="V29" s="624"/>
      <c r="W29" s="625"/>
    </row>
    <row r="30" spans="1:24">
      <c r="B30" s="54" t="s">
        <v>286</v>
      </c>
      <c r="H30" s="4">
        <v>2</v>
      </c>
      <c r="K30" s="324" t="s">
        <v>279</v>
      </c>
    </row>
    <row r="31" spans="1:24" ht="15" customHeight="1">
      <c r="B31" s="54" t="s">
        <v>233</v>
      </c>
      <c r="H31" s="226">
        <f>IF(OR(Alapadatok!I10,Alapadatok!I12),2,0)</f>
        <v>2</v>
      </c>
      <c r="K31" s="261" t="str">
        <f>IF(Alapadatok!I10,"Adható a +2 pont, mert már van DFK",IF(Alapadatok!I12,"Adható a +2 pont, mert vállalja a DFK elkészítését",IF(F18&gt;6000000,"A projektméret miatt kötelező a DFK megszerzése!","Nem választotta, nem kötelező, de beszéljük rá")))</f>
        <v>Adható a +2 pont, mert vállalja a DFK elkészítését</v>
      </c>
    </row>
    <row r="32" spans="1:24">
      <c r="B32" s="259" t="s">
        <v>289</v>
      </c>
      <c r="C32" s="258"/>
      <c r="D32" s="258"/>
      <c r="E32" s="258"/>
      <c r="F32" s="258"/>
      <c r="G32" s="258"/>
      <c r="H32" s="258" t="e">
        <f>SUM(H26:H31)</f>
        <v>#VALUE!</v>
      </c>
      <c r="K32" s="260" t="s">
        <v>280</v>
      </c>
    </row>
    <row r="34" spans="2:11">
      <c r="B34" s="152" t="s">
        <v>290</v>
      </c>
      <c r="H34" s="257">
        <f>Alapadatok!H46</f>
        <v>2</v>
      </c>
      <c r="K34" s="54" t="str">
        <f>IF(H34&lt;=5,"Nagyon alacsony intenzitás, pályázhat",
   IF(H34&lt;=11,"Alacsony intenzitás, nem pályázhat",
      IF(H34&lt;=17,"Magas intenzitás, nem pályázhat",
         IF(H34&lt;=23,"Nagyon magas, nem pályázhat","")
      )
   )
)</f>
        <v>Nagyon alacsony intenzitás, pályázhat</v>
      </c>
    </row>
    <row r="35" spans="2:11" ht="5.75" customHeight="1"/>
    <row r="36" spans="2:11" ht="5.75" customHeight="1"/>
    <row r="37" spans="2:11">
      <c r="B37" s="152" t="str">
        <f xml:space="preserve"> CONCATENATE("Kimeneti DII pont (",Alapadatok!H46, "+",Szoftver!R4,") és szint:")</f>
        <v>Kimeneti DII pont (2+5) és szint:</v>
      </c>
      <c r="H37" s="257">
        <f>Alapadatok!H46+Szoftver!R4</f>
        <v>7</v>
      </c>
      <c r="K37" s="260" t="str">
        <f>IF(H37&lt;=5,"Nagyon alacsony intenzitás",
   IF(H37&lt;=11,"Alacsony intenzitás",
      IF(H37&lt;=17,"Magas intenzitás",
         IF(H37&lt;=23,"Nagyon magas intenzitás","")
      )
   )
)</f>
        <v>Alacsony intenzitás</v>
      </c>
    </row>
    <row r="38" spans="2:11" ht="6.75" customHeight="1"/>
    <row r="39" spans="2:11" ht="6.75" customHeight="1">
      <c r="B39" s="630">
        <f>H37</f>
        <v>7</v>
      </c>
      <c r="C39" s="630"/>
      <c r="D39" s="630"/>
      <c r="E39" s="630"/>
      <c r="F39" s="630"/>
      <c r="G39" s="630"/>
      <c r="H39" s="630"/>
    </row>
    <row r="40" spans="2:11" ht="6.75" customHeight="1"/>
    <row r="41" spans="2:11">
      <c r="B41" s="265" t="s">
        <v>291</v>
      </c>
      <c r="H41" s="264">
        <f>X21</f>
        <v>1</v>
      </c>
      <c r="K41" s="260" t="str">
        <f>CONCATENATE("A fejlesztések bevezetésével a pályázó ",IF($K$37="Nagyon magas intenzitás",3,IF($K$37="Magas intenzitás",2,IF(K37="Alacsony intenzitás",1,IF(K37="Nagyon alacsony",0,""))))," szintet ugrik")</f>
        <v>A fejlesztések bevezetésével a pályázó 1 szintet ugrik</v>
      </c>
    </row>
    <row r="42" spans="2:11" ht="6.75" customHeight="1"/>
    <row r="44" spans="2:11">
      <c r="B44" s="256" t="str">
        <f>IF((Szoftver!T12+Szoftver!T13)&gt;Költségvetés!F18*20%,"A képzés összeges túl magas, meghaladja a támogatás 20%-át","Alkalmazotti IKT képzés elszámolt összege rendben")</f>
        <v>Alkalmazotti IKT képzés elszámolt összege rendben</v>
      </c>
    </row>
    <row r="45" spans="2:11">
      <c r="B45" s="256" t="str">
        <f>IF(Szoftver!T15&gt;Költségvetés!F18*10%,"A képzés összeges túl magas, meghaladja a támogatás 10%-át","IKT biztonsági képzés elszámolt összege rendben")</f>
        <v>IKT biztonsági képzés elszámolt összege rendben</v>
      </c>
    </row>
  </sheetData>
  <mergeCells count="16">
    <mergeCell ref="X23:X24"/>
    <mergeCell ref="B21:K21"/>
    <mergeCell ref="X21:X22"/>
    <mergeCell ref="B25:K25"/>
    <mergeCell ref="B39:H39"/>
    <mergeCell ref="R23:T24"/>
    <mergeCell ref="U21:W21"/>
    <mergeCell ref="U23:U24"/>
    <mergeCell ref="W23:W24"/>
    <mergeCell ref="B29:F29"/>
    <mergeCell ref="K6:K10"/>
    <mergeCell ref="B28:F28"/>
    <mergeCell ref="O21:P21"/>
    <mergeCell ref="O23:Q24"/>
    <mergeCell ref="O25:Q27"/>
    <mergeCell ref="O28:W29"/>
  </mergeCells>
  <conditionalFormatting sqref="B39:H39">
    <cfRule type="dataBar" priority="4">
      <dataBar showValue="0">
        <cfvo type="min"/>
        <cfvo type="max"/>
        <color theme="2" tint="-0.749992370372631"/>
      </dataBar>
      <extLst>
        <ext xmlns:x14="http://schemas.microsoft.com/office/spreadsheetml/2009/9/main" uri="{B025F937-C7B1-47D3-B67F-A62EFF666E3E}">
          <x14:id>{B39E331C-E505-4EBA-8C6B-A6294A696216}</x14:id>
        </ext>
      </extLst>
    </cfRule>
  </conditionalFormatting>
  <conditionalFormatting sqref="F4">
    <cfRule type="expression" dxfId="14" priority="19">
      <formula>$K$4&gt;30%</formula>
    </cfRule>
    <cfRule type="expression" dxfId="13" priority="20">
      <formula>$K$4&lt;15%</formula>
    </cfRule>
  </conditionalFormatting>
  <conditionalFormatting sqref="F14">
    <cfRule type="expression" dxfId="12" priority="16">
      <formula>$F$14&gt;13200000</formula>
    </cfRule>
  </conditionalFormatting>
  <conditionalFormatting sqref="F18">
    <cfRule type="expression" dxfId="11" priority="17">
      <formula>$F$18&gt;12000000</formula>
    </cfRule>
  </conditionalFormatting>
  <conditionalFormatting sqref="K4">
    <cfRule type="expression" dxfId="10" priority="15">
      <formula>"$G$4&gt;0,3"</formula>
    </cfRule>
    <cfRule type="expression" dxfId="9" priority="18">
      <formula>"$G$4&lt;0,15"</formula>
    </cfRule>
  </conditionalFormatting>
  <conditionalFormatting sqref="K5">
    <cfRule type="cellIs" dxfId="8" priority="22" operator="between">
      <formula>15</formula>
      <formula>30</formula>
    </cfRule>
  </conditionalFormatting>
  <conditionalFormatting sqref="K12">
    <cfRule type="dataBar" priority="9">
      <dataBar>
        <cfvo type="num" val="350000"/>
        <cfvo type="num" val="1000000"/>
        <color rgb="FF63C384"/>
      </dataBar>
      <extLst>
        <ext xmlns:x14="http://schemas.microsoft.com/office/spreadsheetml/2009/9/main" uri="{B025F937-C7B1-47D3-B67F-A62EFF666E3E}">
          <x14:id>{308E3FE5-0FAF-46B7-8B80-610036B683E3}</x14:id>
        </ext>
      </extLst>
    </cfRule>
  </conditionalFormatting>
  <conditionalFormatting sqref="K16">
    <cfRule type="expression" dxfId="7" priority="11">
      <formula>$G$18&lt;=1</formula>
    </cfRule>
    <cfRule type="expression" dxfId="6" priority="12">
      <formula>$G$18&gt;1</formula>
    </cfRule>
  </conditionalFormatting>
  <conditionalFormatting sqref="K18">
    <cfRule type="expression" dxfId="5" priority="13">
      <formula>$G$18&gt;1</formula>
    </cfRule>
    <cfRule type="expression" dxfId="4" priority="14">
      <formula>$G$18&lt;=1</formula>
    </cfRule>
  </conditionalFormatting>
  <conditionalFormatting sqref="K31">
    <cfRule type="expression" dxfId="3" priority="1">
      <formula>$H$31=2</formula>
    </cfRule>
    <cfRule type="containsText" dxfId="2" priority="3" operator="containsText" text="A projektméret miatt kötelező a DFK megszerzése!">
      <formula>NOT(ISERROR(SEARCH("A projektméret miatt kötelező a DFK megszerzése!",K31)))</formula>
    </cfRule>
  </conditionalFormatting>
  <conditionalFormatting sqref="K34">
    <cfRule type="cellIs" dxfId="1" priority="7" operator="notEqual">
      <formula>"Nagyon alacsony intenzitás, pályázhat"</formula>
    </cfRule>
    <cfRule type="containsText" dxfId="0" priority="8" operator="containsText" text="Nagyon alacsony">
      <formula>NOT(ISERROR(SEARCH("Nagyon alacsony",K34)))</formula>
    </cfRule>
  </conditionalFormatting>
  <pageMargins left="0.7" right="0.7" top="0.75" bottom="0.75" header="0.3" footer="0.3"/>
  <pageSetup paperSize="9" orientation="portrait" verticalDpi="0" r:id="rId1"/>
  <drawing r:id="rId2"/>
  <legacyDrawing r:id="rId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B39E331C-E505-4EBA-8C6B-A6294A696216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B39:H39</xm:sqref>
        </x14:conditionalFormatting>
        <x14:conditionalFormatting xmlns:xm="http://schemas.microsoft.com/office/excel/2006/main">
          <x14:cfRule type="dataBar" id="{308E3FE5-0FAF-46B7-8B80-610036B683E3}">
            <x14:dataBar minLength="0" maxLength="100" gradient="0">
              <x14:cfvo type="num">
                <xm:f>350000</xm:f>
              </x14:cfvo>
              <x14:cfvo type="num">
                <xm:f>1000000</xm:f>
              </x14:cfvo>
              <x14:negativeFillColor rgb="FFFF0000"/>
              <x14:axisColor rgb="FF000000"/>
            </x14:dataBar>
          </x14:cfRule>
          <xm:sqref>K12</xm:sqref>
        </x14:conditionalFormatting>
      </x14:conditionalFormatting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40677A-1758-4AA6-8826-CF96E1E832F7}">
  <sheetPr>
    <tabColor rgb="FFC00000"/>
  </sheetPr>
  <dimension ref="A1:R28"/>
  <sheetViews>
    <sheetView workbookViewId="0">
      <selection activeCell="G18" sqref="G18"/>
    </sheetView>
  </sheetViews>
  <sheetFormatPr baseColWidth="10" defaultColWidth="8.83203125" defaultRowHeight="15"/>
  <cols>
    <col min="3" max="3" width="10" customWidth="1"/>
    <col min="4" max="4" width="2.6640625" customWidth="1"/>
    <col min="5" max="5" width="9" style="5"/>
    <col min="6" max="6" width="2.6640625" customWidth="1"/>
    <col min="7" max="7" width="62" customWidth="1"/>
  </cols>
  <sheetData>
    <row r="1" spans="1:18" ht="32.25" customHeight="1">
      <c r="A1" s="160" t="s">
        <v>205</v>
      </c>
      <c r="B1" s="160" t="s">
        <v>206</v>
      </c>
      <c r="C1" s="160" t="s">
        <v>207</v>
      </c>
      <c r="D1" s="160"/>
      <c r="E1" s="177" t="s">
        <v>208</v>
      </c>
      <c r="G1" s="647" t="s">
        <v>219</v>
      </c>
      <c r="H1" s="647"/>
      <c r="I1" s="647"/>
      <c r="J1" s="647"/>
      <c r="K1" s="647"/>
      <c r="L1" s="647"/>
      <c r="M1" s="647"/>
      <c r="N1" s="647"/>
      <c r="O1" s="647"/>
      <c r="P1" s="647"/>
      <c r="Q1" s="647"/>
      <c r="R1" s="225" t="s">
        <v>276</v>
      </c>
    </row>
    <row r="2" spans="1:18">
      <c r="A2" s="158" t="s">
        <v>209</v>
      </c>
      <c r="B2" s="158" t="s">
        <v>210</v>
      </c>
      <c r="C2" s="158" t="s">
        <v>210</v>
      </c>
      <c r="E2" s="5" t="s">
        <v>211</v>
      </c>
    </row>
    <row r="3" spans="1:18">
      <c r="A3" s="158" t="s">
        <v>210</v>
      </c>
      <c r="B3" s="158" t="s">
        <v>209</v>
      </c>
      <c r="C3" s="158" t="s">
        <v>210</v>
      </c>
      <c r="E3" s="5" t="s">
        <v>211</v>
      </c>
      <c r="G3" t="s">
        <v>221</v>
      </c>
    </row>
    <row r="4" spans="1:18" ht="32">
      <c r="A4" s="177" t="s">
        <v>209</v>
      </c>
      <c r="B4" s="177" t="s">
        <v>209</v>
      </c>
      <c r="C4" s="58" t="s">
        <v>229</v>
      </c>
      <c r="E4" s="177" t="s">
        <v>212</v>
      </c>
      <c r="G4" s="225" t="s">
        <v>225</v>
      </c>
    </row>
    <row r="5" spans="1:18">
      <c r="A5" s="158"/>
      <c r="B5" s="158"/>
      <c r="C5" s="158"/>
      <c r="G5" s="152" t="s">
        <v>224</v>
      </c>
    </row>
    <row r="6" spans="1:18">
      <c r="A6" s="158"/>
      <c r="B6" s="158"/>
      <c r="C6" s="158"/>
      <c r="G6" t="s">
        <v>220</v>
      </c>
    </row>
    <row r="7" spans="1:18">
      <c r="A7" s="158"/>
      <c r="B7" s="158"/>
      <c r="C7" s="158"/>
      <c r="G7" t="s">
        <v>277</v>
      </c>
    </row>
    <row r="8" spans="1:18">
      <c r="A8" s="158"/>
      <c r="B8" s="158"/>
      <c r="C8" s="158"/>
    </row>
    <row r="9" spans="1:18">
      <c r="G9" t="s">
        <v>272</v>
      </c>
    </row>
    <row r="11" spans="1:18">
      <c r="G11" s="152" t="s">
        <v>226</v>
      </c>
    </row>
    <row r="12" spans="1:18">
      <c r="G12" t="s">
        <v>223</v>
      </c>
    </row>
    <row r="13" spans="1:18">
      <c r="G13" t="s">
        <v>213</v>
      </c>
    </row>
    <row r="15" spans="1:18">
      <c r="G15" s="152" t="s">
        <v>273</v>
      </c>
    </row>
    <row r="16" spans="1:18">
      <c r="G16" t="s">
        <v>222</v>
      </c>
    </row>
    <row r="17" spans="7:7">
      <c r="G17" t="s">
        <v>270</v>
      </c>
    </row>
    <row r="20" spans="7:7">
      <c r="G20" s="112" t="s">
        <v>214</v>
      </c>
    </row>
    <row r="21" spans="7:7">
      <c r="G21" s="54" t="s">
        <v>227</v>
      </c>
    </row>
    <row r="22" spans="7:7">
      <c r="G22" s="54" t="s">
        <v>215</v>
      </c>
    </row>
    <row r="23" spans="7:7">
      <c r="G23" s="54" t="s">
        <v>216</v>
      </c>
    </row>
    <row r="24" spans="7:7">
      <c r="G24" s="54" t="s">
        <v>217</v>
      </c>
    </row>
    <row r="25" spans="7:7">
      <c r="G25" s="54" t="s">
        <v>218</v>
      </c>
    </row>
    <row r="28" spans="7:7">
      <c r="G28" s="152" t="s">
        <v>228</v>
      </c>
    </row>
  </sheetData>
  <mergeCells count="1">
    <mergeCell ref="G1:Q1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00F3D8-86DA-44AD-B2CD-8EF01AA4744E}">
  <dimension ref="A1:D57"/>
  <sheetViews>
    <sheetView workbookViewId="0">
      <pane ySplit="4" topLeftCell="A5" activePane="bottomLeft" state="frozen"/>
      <selection pane="bottomLeft" activeCell="C1" sqref="C1"/>
      <extLst>
        <ext xmlns:xlsdti="http://schemas.microsoft.com/office/spreadsheetml/2023/showDataTypeIcons" uri="{77bfe23e-c014-4d31-8a63-9c772dbf06b6}">
          <xlsdti:showDataTypeIcons visible="0"/>
        </ext>
      </extLst>
    </sheetView>
  </sheetViews>
  <sheetFormatPr baseColWidth="10" defaultColWidth="8.83203125" defaultRowHeight="15"/>
  <cols>
    <col min="1" max="1" width="22.83203125" customWidth="1"/>
    <col min="2" max="2" width="15.1640625" customWidth="1"/>
    <col min="3" max="3" width="10" customWidth="1"/>
    <col min="4" max="4" width="48.1640625" customWidth="1"/>
  </cols>
  <sheetData>
    <row r="1" spans="1:4">
      <c r="A1" s="112" t="s">
        <v>316</v>
      </c>
      <c r="C1">
        <f>'Napi árfolyamok'!D3</f>
        <v>379.21</v>
      </c>
    </row>
    <row r="2" spans="1:4">
      <c r="A2" s="648" t="s">
        <v>344</v>
      </c>
      <c r="B2" s="649"/>
      <c r="C2" s="649"/>
      <c r="D2" s="649"/>
    </row>
    <row r="3" spans="1:4">
      <c r="A3" s="650"/>
      <c r="B3" s="651"/>
      <c r="C3" s="651"/>
      <c r="D3" s="651"/>
    </row>
    <row r="4" spans="1:4" ht="16" thickBot="1">
      <c r="A4" s="112" t="s">
        <v>301</v>
      </c>
      <c r="B4" s="112" t="s">
        <v>302</v>
      </c>
      <c r="C4" s="112" t="s">
        <v>313</v>
      </c>
      <c r="D4" s="112" t="s">
        <v>314</v>
      </c>
    </row>
    <row r="5" spans="1:4">
      <c r="A5" s="136" t="s">
        <v>283</v>
      </c>
      <c r="B5" s="273">
        <f>C5*$C$1</f>
        <v>1729.1975999999997</v>
      </c>
      <c r="C5" s="274">
        <v>4.5599999999999996</v>
      </c>
      <c r="D5" s="282" t="s">
        <v>315</v>
      </c>
    </row>
    <row r="6" spans="1:4">
      <c r="A6" s="276" t="s">
        <v>298</v>
      </c>
      <c r="B6" s="277">
        <f t="shared" ref="B6:B7" si="0">C6*$C$1</f>
        <v>3640.4159999999997</v>
      </c>
      <c r="C6" s="278">
        <v>9.6</v>
      </c>
      <c r="D6" s="283" t="s">
        <v>317</v>
      </c>
    </row>
    <row r="7" spans="1:4">
      <c r="A7" s="276" t="s">
        <v>299</v>
      </c>
      <c r="B7" s="277">
        <f t="shared" si="0"/>
        <v>7417.3475999999991</v>
      </c>
      <c r="C7" s="278">
        <v>19.559999999999999</v>
      </c>
      <c r="D7" s="283" t="s">
        <v>318</v>
      </c>
    </row>
    <row r="8" spans="1:4">
      <c r="A8" s="276" t="s">
        <v>319</v>
      </c>
      <c r="D8" s="279"/>
    </row>
    <row r="9" spans="1:4">
      <c r="A9" s="276" t="s">
        <v>320</v>
      </c>
      <c r="D9" s="279"/>
    </row>
    <row r="10" spans="1:4">
      <c r="A10" s="276" t="s">
        <v>321</v>
      </c>
      <c r="D10" s="279"/>
    </row>
    <row r="11" spans="1:4">
      <c r="A11" s="276"/>
      <c r="D11" s="279"/>
    </row>
    <row r="12" spans="1:4">
      <c r="A12" s="276"/>
      <c r="D12" s="279"/>
    </row>
    <row r="13" spans="1:4">
      <c r="A13" s="276"/>
      <c r="D13" s="279"/>
    </row>
    <row r="14" spans="1:4">
      <c r="A14" s="276"/>
      <c r="D14" s="279"/>
    </row>
    <row r="15" spans="1:4">
      <c r="A15" s="276"/>
      <c r="D15" s="279"/>
    </row>
    <row r="16" spans="1:4">
      <c r="A16" s="276"/>
      <c r="D16" s="279"/>
    </row>
    <row r="17" spans="1:4">
      <c r="A17" s="276"/>
      <c r="D17" s="279"/>
    </row>
    <row r="18" spans="1:4">
      <c r="A18" s="276"/>
      <c r="D18" s="279"/>
    </row>
    <row r="19" spans="1:4">
      <c r="A19" s="276"/>
      <c r="D19" s="279"/>
    </row>
    <row r="20" spans="1:4" ht="16" thickBot="1">
      <c r="A20" s="133"/>
      <c r="B20" s="280"/>
      <c r="C20" s="280"/>
      <c r="D20" s="281"/>
    </row>
    <row r="21" spans="1:4">
      <c r="A21" s="136" t="s">
        <v>323</v>
      </c>
      <c r="B21" s="273">
        <f>C21*$C$1</f>
        <v>3299.1269999999995</v>
      </c>
      <c r="C21" s="274">
        <v>8.6999999999999993</v>
      </c>
      <c r="D21" s="282" t="s">
        <v>322</v>
      </c>
    </row>
    <row r="22" spans="1:4">
      <c r="A22" s="276" t="s">
        <v>324</v>
      </c>
      <c r="B22" s="277">
        <f>C22*$C$1</f>
        <v>4872.8484999999991</v>
      </c>
      <c r="C22" s="278">
        <v>12.85</v>
      </c>
      <c r="D22" s="283" t="s">
        <v>325</v>
      </c>
    </row>
    <row r="23" spans="1:4">
      <c r="A23" s="276"/>
      <c r="D23" s="279"/>
    </row>
    <row r="24" spans="1:4">
      <c r="A24" s="276"/>
      <c r="D24" s="279"/>
    </row>
    <row r="25" spans="1:4" ht="16" thickBot="1">
      <c r="A25" s="133"/>
      <c r="B25" s="280"/>
      <c r="C25" s="280"/>
      <c r="D25" s="281"/>
    </row>
    <row r="26" spans="1:4">
      <c r="A26" s="136" t="s">
        <v>333</v>
      </c>
      <c r="B26" s="387">
        <v>1800</v>
      </c>
      <c r="C26" s="286"/>
      <c r="D26" s="353" t="s">
        <v>375</v>
      </c>
    </row>
    <row r="27" spans="1:4">
      <c r="A27" s="276" t="s">
        <v>334</v>
      </c>
      <c r="B27" s="352">
        <f>15000/12</f>
        <v>1250</v>
      </c>
      <c r="D27" s="279"/>
    </row>
    <row r="28" spans="1:4">
      <c r="A28" s="276" t="s">
        <v>335</v>
      </c>
      <c r="B28" s="352">
        <f>16000/12</f>
        <v>1333.3333333333333</v>
      </c>
      <c r="D28" s="279"/>
    </row>
    <row r="29" spans="1:4">
      <c r="A29" s="276" t="s">
        <v>336</v>
      </c>
      <c r="B29" s="352">
        <f>17000/12</f>
        <v>1416.6666666666667</v>
      </c>
      <c r="D29" s="279"/>
    </row>
    <row r="30" spans="1:4">
      <c r="A30" s="276"/>
      <c r="B30" s="277"/>
      <c r="D30" s="279"/>
    </row>
    <row r="31" spans="1:4">
      <c r="A31" s="276"/>
      <c r="B31" s="277"/>
      <c r="D31" s="279"/>
    </row>
    <row r="32" spans="1:4">
      <c r="A32" s="276"/>
      <c r="B32" s="277"/>
      <c r="D32" s="279"/>
    </row>
    <row r="33" spans="1:4">
      <c r="A33" s="276"/>
      <c r="B33" s="277"/>
      <c r="D33" s="279"/>
    </row>
    <row r="34" spans="1:4">
      <c r="A34" s="276"/>
      <c r="B34" s="277"/>
      <c r="D34" s="279"/>
    </row>
    <row r="35" spans="1:4">
      <c r="A35" s="276"/>
      <c r="B35" s="277"/>
      <c r="D35" s="279"/>
    </row>
    <row r="36" spans="1:4" ht="16" thickBot="1">
      <c r="A36" s="133"/>
      <c r="B36" s="304"/>
      <c r="C36" s="280"/>
      <c r="D36" s="281"/>
    </row>
    <row r="37" spans="1:4">
      <c r="A37" s="136" t="s">
        <v>337</v>
      </c>
      <c r="B37" s="273">
        <v>2800</v>
      </c>
      <c r="C37" s="286"/>
      <c r="D37" s="275"/>
    </row>
    <row r="38" spans="1:4">
      <c r="A38" s="276" t="s">
        <v>338</v>
      </c>
      <c r="B38" s="277">
        <v>2900</v>
      </c>
      <c r="D38" s="279"/>
    </row>
    <row r="39" spans="1:4">
      <c r="A39" s="276" t="s">
        <v>339</v>
      </c>
      <c r="B39" s="277">
        <v>3001</v>
      </c>
      <c r="D39" s="279"/>
    </row>
    <row r="40" spans="1:4">
      <c r="A40" s="276" t="s">
        <v>340</v>
      </c>
      <c r="B40" s="277">
        <v>3100</v>
      </c>
      <c r="D40" s="279"/>
    </row>
    <row r="41" spans="1:4" ht="16" thickBot="1">
      <c r="A41" s="133" t="s">
        <v>341</v>
      </c>
      <c r="B41" s="304">
        <v>3200</v>
      </c>
      <c r="C41" s="280"/>
      <c r="D41" s="281"/>
    </row>
    <row r="42" spans="1:4">
      <c r="A42" s="136" t="s">
        <v>342</v>
      </c>
      <c r="B42" s="273">
        <v>5000</v>
      </c>
      <c r="C42" s="286"/>
      <c r="D42" s="275"/>
    </row>
    <row r="43" spans="1:4">
      <c r="A43" s="276" t="s">
        <v>343</v>
      </c>
      <c r="B43" s="277">
        <v>6000</v>
      </c>
      <c r="D43" s="279"/>
    </row>
    <row r="44" spans="1:4">
      <c r="A44" s="276"/>
      <c r="B44" s="277"/>
      <c r="D44" s="279"/>
    </row>
    <row r="45" spans="1:4">
      <c r="A45" s="276"/>
      <c r="B45" s="277"/>
      <c r="D45" s="279"/>
    </row>
    <row r="46" spans="1:4" ht="16" thickBot="1">
      <c r="A46" s="133"/>
      <c r="B46" s="304"/>
      <c r="C46" s="280"/>
      <c r="D46" s="281"/>
    </row>
    <row r="47" spans="1:4">
      <c r="A47" s="136" t="s">
        <v>345</v>
      </c>
      <c r="B47" s="273">
        <v>9200</v>
      </c>
      <c r="C47" s="286"/>
      <c r="D47" s="275"/>
    </row>
    <row r="48" spans="1:4">
      <c r="A48" s="276" t="s">
        <v>346</v>
      </c>
      <c r="B48" s="277">
        <v>7890</v>
      </c>
      <c r="D48" s="279"/>
    </row>
    <row r="49" spans="1:4">
      <c r="A49" s="276" t="s">
        <v>347</v>
      </c>
      <c r="B49" s="277">
        <v>6500</v>
      </c>
      <c r="D49" s="279"/>
    </row>
    <row r="50" spans="1:4">
      <c r="A50" s="276" t="s">
        <v>348</v>
      </c>
      <c r="B50" s="277">
        <v>8000</v>
      </c>
      <c r="D50" s="279"/>
    </row>
    <row r="51" spans="1:4">
      <c r="A51" s="276"/>
      <c r="B51" s="277"/>
      <c r="D51" s="279"/>
    </row>
    <row r="52" spans="1:4">
      <c r="A52" s="276"/>
      <c r="B52" s="277"/>
      <c r="D52" s="279"/>
    </row>
    <row r="53" spans="1:4">
      <c r="A53" s="276"/>
      <c r="B53" s="277"/>
      <c r="D53" s="279"/>
    </row>
    <row r="54" spans="1:4">
      <c r="A54" s="276"/>
      <c r="B54" s="277"/>
      <c r="D54" s="279"/>
    </row>
    <row r="55" spans="1:4">
      <c r="A55" s="276"/>
      <c r="B55" s="277"/>
      <c r="D55" s="279"/>
    </row>
    <row r="56" spans="1:4">
      <c r="A56" s="276"/>
      <c r="B56" s="277"/>
      <c r="D56" s="279"/>
    </row>
    <row r="57" spans="1:4" ht="16" thickBot="1">
      <c r="A57" s="133"/>
      <c r="B57" s="304"/>
      <c r="C57" s="280"/>
      <c r="D57" s="281"/>
    </row>
  </sheetData>
  <mergeCells count="2">
    <mergeCell ref="A2:D2"/>
    <mergeCell ref="A3:D3"/>
  </mergeCells>
  <phoneticPr fontId="31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DE3BD8-3F37-464D-A953-1B3721E77E62}">
  <dimension ref="A1:D4"/>
  <sheetViews>
    <sheetView workbookViewId="0">
      <selection activeCell="D3" sqref="D3"/>
    </sheetView>
  </sheetViews>
  <sheetFormatPr baseColWidth="10" defaultColWidth="8.83203125" defaultRowHeight="15"/>
  <cols>
    <col min="1" max="1" width="8.1640625" bestFit="1" customWidth="1"/>
    <col min="2" max="2" width="9.5" bestFit="1" customWidth="1"/>
    <col min="3" max="3" width="6.1640625" bestFit="1" customWidth="1"/>
    <col min="4" max="4" width="20.83203125" bestFit="1" customWidth="1"/>
  </cols>
  <sheetData>
    <row r="1" spans="1:4">
      <c r="A1" t="s">
        <v>303</v>
      </c>
      <c r="B1" t="s">
        <v>304</v>
      </c>
      <c r="C1" t="s">
        <v>305</v>
      </c>
      <c r="D1" t="s">
        <v>306</v>
      </c>
    </row>
    <row r="2" spans="1:4">
      <c r="A2" t="s">
        <v>307</v>
      </c>
      <c r="B2" t="s">
        <v>308</v>
      </c>
      <c r="C2">
        <v>1</v>
      </c>
      <c r="D2">
        <v>418.54</v>
      </c>
    </row>
    <row r="3" spans="1:4">
      <c r="A3" t="s">
        <v>309</v>
      </c>
      <c r="B3" t="s">
        <v>310</v>
      </c>
      <c r="C3">
        <v>1</v>
      </c>
      <c r="D3">
        <v>379.21</v>
      </c>
    </row>
    <row r="4" spans="1:4">
      <c r="A4" t="s">
        <v>311</v>
      </c>
      <c r="B4" t="s">
        <v>312</v>
      </c>
      <c r="C4">
        <v>1</v>
      </c>
      <c r="D4">
        <v>323.2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kumentum" ma:contentTypeID="0x0101003BFBE906C3CCE74EAD5F4576960BEB07" ma:contentTypeVersion="9" ma:contentTypeDescription="Új dokumentum létrehozása." ma:contentTypeScope="" ma:versionID="e98de0b3d8d58d30376e26c7328ac358">
  <xsd:schema xmlns:xsd="http://www.w3.org/2001/XMLSchema" xmlns:xs="http://www.w3.org/2001/XMLSchema" xmlns:p="http://schemas.microsoft.com/office/2006/metadata/properties" xmlns:ns3="0139f271-68be-43e5-8b11-3df9e66e1333" targetNamespace="http://schemas.microsoft.com/office/2006/metadata/properties" ma:root="true" ma:fieldsID="42db1429127bc90c195924c9857439a0" ns3:_="">
    <xsd:import namespace="0139f271-68be-43e5-8b11-3df9e66e1333"/>
    <xsd:element name="properties">
      <xsd:complexType>
        <xsd:sequence>
          <xsd:element name="documentManagement">
            <xsd:complexType>
              <xsd:all>
                <xsd:element ref="ns3:MediaServiceDateTaken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_activity" minOccurs="0"/>
                <xsd:element ref="ns3:MediaServiceSystemTags" minOccurs="0"/>
                <xsd:element ref="ns3:MediaServiceGenerationTime" minOccurs="0"/>
                <xsd:element ref="ns3:MediaServiceEventHashCode" minOccurs="0"/>
                <xsd:element ref="ns3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139f271-68be-43e5-8b11-3df9e66e1333" elementFormDefault="qualified">
    <xsd:import namespace="http://schemas.microsoft.com/office/2006/documentManagement/types"/>
    <xsd:import namespace="http://schemas.microsoft.com/office/infopath/2007/PartnerControls"/>
    <xsd:element name="MediaServiceDateTaken" ma:index="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_activity" ma:index="12" nillable="true" ma:displayName="_activity" ma:hidden="true" ma:internalName="_activity">
      <xsd:simpleType>
        <xsd:restriction base="dms:Note"/>
      </xsd:simpleType>
    </xsd:element>
    <xsd:element name="MediaServiceSystemTags" ma:index="13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6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artalomtípus"/>
        <xsd:element ref="dc:title" minOccurs="0" maxOccurs="1" ma:index="4" ma:displayName="Cím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��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0139f271-68be-43e5-8b11-3df9e66e1333" xsi:nil="true"/>
  </documentManagement>
</p:properties>
</file>

<file path=customXml/item4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BA0528D1-6E0A-446B-8A79-5741ECBC076B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0139f271-68be-43e5-8b11-3df9e66e133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1BFCCC23-BA58-44E0-9E7A-285FB418C4B8}">
  <ds:schemaRefs>
    <ds:schemaRef ds:uri="http://schemas.microsoft.com/DataMashup"/>
  </ds:schemaRefs>
</ds:datastoreItem>
</file>

<file path=customXml/itemProps3.xml><?xml version="1.0" encoding="utf-8"?>
<ds:datastoreItem xmlns:ds="http://schemas.openxmlformats.org/officeDocument/2006/customXml" ds:itemID="{4BB224D5-1D41-40D0-AD39-95D3FD3E5174}">
  <ds:schemaRefs>
    <ds:schemaRef ds:uri="http://www.w3.org/XML/1998/namespace"/>
    <ds:schemaRef ds:uri="http://schemas.microsoft.com/office/2006/documentManagement/types"/>
    <ds:schemaRef ds:uri="http://purl.org/dc/dcmitype/"/>
    <ds:schemaRef ds:uri="http://schemas.microsoft.com/office/infopath/2007/PartnerControls"/>
    <ds:schemaRef ds:uri="http://schemas.openxmlformats.org/package/2006/metadata/core-properties"/>
    <ds:schemaRef ds:uri="0139f271-68be-43e5-8b11-3df9e66e1333"/>
    <ds:schemaRef ds:uri="http://schemas.microsoft.com/office/2006/metadata/properties"/>
    <ds:schemaRef ds:uri="http://purl.org/dc/terms/"/>
    <ds:schemaRef ds:uri="http://purl.org/dc/elements/1.1/"/>
  </ds:schemaRefs>
</ds:datastoreItem>
</file>

<file path=customXml/itemProps4.xml><?xml version="1.0" encoding="utf-8"?>
<ds:datastoreItem xmlns:ds="http://schemas.openxmlformats.org/officeDocument/2006/customXml" ds:itemID="{707DBF09-1CC8-4D73-B732-84A324B81058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Munkalapok</vt:lpstr>
      </vt:variant>
      <vt:variant>
        <vt:i4>10</vt:i4>
      </vt:variant>
      <vt:variant>
        <vt:lpstr>Névvel ellátott tartományok</vt:lpstr>
      </vt:variant>
      <vt:variant>
        <vt:i4>1</vt:i4>
      </vt:variant>
    </vt:vector>
  </HeadingPairs>
  <TitlesOfParts>
    <vt:vector size="11" baseType="lpstr">
      <vt:lpstr>Alapadatok</vt:lpstr>
      <vt:lpstr>Hardver</vt:lpstr>
      <vt:lpstr>Szoftver</vt:lpstr>
      <vt:lpstr>Rövid_pdf</vt:lpstr>
      <vt:lpstr>Egyéb költségek</vt:lpstr>
      <vt:lpstr>Hosszú_pdf</vt:lpstr>
      <vt:lpstr>Költségvetés</vt:lpstr>
      <vt:lpstr>Kérdések</vt:lpstr>
      <vt:lpstr>Alternatív termékek</vt:lpstr>
      <vt:lpstr>Napi árfolyamok</vt:lpstr>
      <vt:lpstr>Szoftver!_Hlk219322800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Szilárd Pankucsi</dc:creator>
  <cp:lastModifiedBy>Kott Zoltán</cp:lastModifiedBy>
  <cp:lastPrinted>2026-01-28T12:27:03Z</cp:lastPrinted>
  <dcterms:created xsi:type="dcterms:W3CDTF">2026-01-18T20:07:24Z</dcterms:created>
  <dcterms:modified xsi:type="dcterms:W3CDTF">2026-03-17T00:08:10Z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0x0101003BFBE906C3CCE74EAD5F4576960BEB07</vt:lpwstr>
  </property>
</Properties>
</file>